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rti\OneDrive\Escritorio\Repositorio_Análisis_Excel\"/>
    </mc:Choice>
  </mc:AlternateContent>
  <xr:revisionPtr revIDLastSave="0" documentId="13_ncr:1_{12F0D070-5FC5-4822-9F2A-DDF748D381EC}" xr6:coauthVersionLast="47" xr6:coauthVersionMax="47" xr10:uidLastSave="{00000000-0000-0000-0000-000000000000}"/>
  <bookViews>
    <workbookView xWindow="20370" yWindow="-1290" windowWidth="20730" windowHeight="11760" tabRatio="500" xr2:uid="{00000000-000D-0000-FFFF-FFFF00000000}"/>
  </bookViews>
  <sheets>
    <sheet name="Sobre este análisis" sheetId="1" r:id="rId1"/>
    <sheet name="Datos_Crudos" sheetId="2" r:id="rId2"/>
    <sheet name="Data Profiling" sheetId="9" r:id="rId3"/>
    <sheet name="Datos_Limpios" sheetId="3" r:id="rId4"/>
    <sheet name="Preguntas" sheetId="4" r:id="rId5"/>
    <sheet name="Evidencia Respuestas" sheetId="10" r:id="rId6"/>
    <sheet name="Gráficos" sheetId="5" r:id="rId7"/>
    <sheet name="Dashboard" sheetId="11" r:id="rId8"/>
    <sheet name="Conclusiones" sheetId="7" r:id="rId9"/>
  </sheets>
  <definedNames>
    <definedName name="DatosExternos_1" localSheetId="3" hidden="1">Datos_Limpios!$A$1:$I$485</definedName>
    <definedName name="SegmentaciónDeDatos_Age">#N/A</definedName>
    <definedName name="SegmentaciónDeDatos_Country">#N/A</definedName>
    <definedName name="SegmentaciónDeDatos_Product_Category">#N/A</definedName>
  </definedNames>
  <calcPr calcId="191029" iterateDelta="1E-4"/>
  <pivotCaches>
    <pivotCache cacheId="0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5" i="4" l="1" a="1"/>
  <c r="C15" i="4" s="1"/>
  <c r="C13" i="4"/>
  <c r="C7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452DCB-40A6-4DAC-92A8-845B13418937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<sst xmlns="http://schemas.openxmlformats.org/spreadsheetml/2006/main" count="5198" uniqueCount="1371">
  <si>
    <t>ID</t>
  </si>
  <si>
    <t>Name</t>
  </si>
  <si>
    <t>Age</t>
  </si>
  <si>
    <t>Gender</t>
  </si>
  <si>
    <t>Country</t>
  </si>
  <si>
    <t>Join_Date</t>
  </si>
  <si>
    <t>Purchase_Amount</t>
  </si>
  <si>
    <t>Product_Category</t>
  </si>
  <si>
    <t>Rating</t>
  </si>
  <si>
    <t>Jason</t>
  </si>
  <si>
    <t>female</t>
  </si>
  <si>
    <t xml:space="preserve">  PAKISTAN  </t>
  </si>
  <si>
    <t>2025/03/19</t>
  </si>
  <si>
    <t>7883.0</t>
  </si>
  <si>
    <t xml:space="preserve"> Grocery </t>
  </si>
  <si>
    <t>Ashley</t>
  </si>
  <si>
    <t xml:space="preserve"> Female </t>
  </si>
  <si>
    <t xml:space="preserve"> Nepal </t>
  </si>
  <si>
    <t>02-28-2024</t>
  </si>
  <si>
    <t>19196.0</t>
  </si>
  <si>
    <t xml:space="preserve">  FURNITURE  </t>
  </si>
  <si>
    <t>Mitchell</t>
  </si>
  <si>
    <t xml:space="preserve">  MALE  </t>
  </si>
  <si>
    <t xml:space="preserve">  NEPAL  </t>
  </si>
  <si>
    <t>2022-05-20</t>
  </si>
  <si>
    <t>17412.0</t>
  </si>
  <si>
    <t>Books</t>
  </si>
  <si>
    <t>Kimberly</t>
  </si>
  <si>
    <t xml:space="preserve">  FEMALE  </t>
  </si>
  <si>
    <t>nepal</t>
  </si>
  <si>
    <t>16/06/2023</t>
  </si>
  <si>
    <t>6142.0</t>
  </si>
  <si>
    <t>grocery</t>
  </si>
  <si>
    <t>Erik</t>
  </si>
  <si>
    <t>Sri Lanka</t>
  </si>
  <si>
    <t>2023-03-19</t>
  </si>
  <si>
    <t>6369.0</t>
  </si>
  <si>
    <t>furniture</t>
  </si>
  <si>
    <t>Haley</t>
  </si>
  <si>
    <t>Female</t>
  </si>
  <si>
    <t>Bangladesh</t>
  </si>
  <si>
    <t>2024/02/01</t>
  </si>
  <si>
    <t>18117.0</t>
  </si>
  <si>
    <t>Michael</t>
  </si>
  <si>
    <t>03/08/2023</t>
  </si>
  <si>
    <t>11274.0</t>
  </si>
  <si>
    <t>Clothing</t>
  </si>
  <si>
    <t>Michelle</t>
  </si>
  <si>
    <t>male</t>
  </si>
  <si>
    <t>bangladesh</t>
  </si>
  <si>
    <t>01-05-2025</t>
  </si>
  <si>
    <t>1442.0</t>
  </si>
  <si>
    <t xml:space="preserve"> Furniture </t>
  </si>
  <si>
    <t>Jessica</t>
  </si>
  <si>
    <t xml:space="preserve"> Male </t>
  </si>
  <si>
    <t xml:space="preserve"> Pakistan </t>
  </si>
  <si>
    <t>15/10/2024</t>
  </si>
  <si>
    <t>9621.0</t>
  </si>
  <si>
    <t>Rebecca</t>
  </si>
  <si>
    <t>Male</t>
  </si>
  <si>
    <t xml:space="preserve">  BANGLADESH  </t>
  </si>
  <si>
    <t>10-21-2024</t>
  </si>
  <si>
    <t>11497.0</t>
  </si>
  <si>
    <t xml:space="preserve"> Books </t>
  </si>
  <si>
    <t>Misty</t>
  </si>
  <si>
    <t>2023-04-13</t>
  </si>
  <si>
    <t>12872.0</t>
  </si>
  <si>
    <t>Furniture</t>
  </si>
  <si>
    <t>Victor</t>
  </si>
  <si>
    <t>24/08/2024</t>
  </si>
  <si>
    <t>4532.0</t>
  </si>
  <si>
    <t>Gary</t>
  </si>
  <si>
    <t xml:space="preserve">  AFGHANISTAN  </t>
  </si>
  <si>
    <t>12/11/2022</t>
  </si>
  <si>
    <t>12890.0</t>
  </si>
  <si>
    <t>Toys</t>
  </si>
  <si>
    <t>Larry</t>
  </si>
  <si>
    <t>2023-11-21</t>
  </si>
  <si>
    <t>893.0</t>
  </si>
  <si>
    <t xml:space="preserve">  GROCERY  </t>
  </si>
  <si>
    <t>Daniel</t>
  </si>
  <si>
    <t>Afghanistan</t>
  </si>
  <si>
    <t>2022/07/11</t>
  </si>
  <si>
    <t>11204.0</t>
  </si>
  <si>
    <t>Anthony</t>
  </si>
  <si>
    <t>2024-12-23</t>
  </si>
  <si>
    <t>14046.0</t>
  </si>
  <si>
    <t>Brandon</t>
  </si>
  <si>
    <t xml:space="preserve"> Sri Lanka </t>
  </si>
  <si>
    <t>2024-06-15</t>
  </si>
  <si>
    <t>11054.0</t>
  </si>
  <si>
    <t>Ryan</t>
  </si>
  <si>
    <t>08-02-2022</t>
  </si>
  <si>
    <t>18855.0</t>
  </si>
  <si>
    <t>Wendy</t>
  </si>
  <si>
    <t>india</t>
  </si>
  <si>
    <t>2025-04-11</t>
  </si>
  <si>
    <t>19229.0</t>
  </si>
  <si>
    <t>David</t>
  </si>
  <si>
    <t>11-13-2022</t>
  </si>
  <si>
    <t>8262.0</t>
  </si>
  <si>
    <t>books</t>
  </si>
  <si>
    <t>John</t>
  </si>
  <si>
    <t>2024-10-06</t>
  </si>
  <si>
    <t>798.0</t>
  </si>
  <si>
    <t>Julian</t>
  </si>
  <si>
    <t>Pakistan</t>
  </si>
  <si>
    <t>2023-09-04</t>
  </si>
  <si>
    <t>16848.0</t>
  </si>
  <si>
    <t>Jonathan</t>
  </si>
  <si>
    <t>2024-10-14</t>
  </si>
  <si>
    <t>9895.0</t>
  </si>
  <si>
    <t>Grocery</t>
  </si>
  <si>
    <t>Christine</t>
  </si>
  <si>
    <t>06/08/2022</t>
  </si>
  <si>
    <t>clothing</t>
  </si>
  <si>
    <t>William</t>
  </si>
  <si>
    <t>2024-12-20</t>
  </si>
  <si>
    <t>14018.0</t>
  </si>
  <si>
    <t>Alicia</t>
  </si>
  <si>
    <t xml:space="preserve"> Afghanistan </t>
  </si>
  <si>
    <t>2024-05-11</t>
  </si>
  <si>
    <t>13735.0</t>
  </si>
  <si>
    <t>Kristy</t>
  </si>
  <si>
    <t>India</t>
  </si>
  <si>
    <t>2024-08-10</t>
  </si>
  <si>
    <t>$4904.0</t>
  </si>
  <si>
    <t>James</t>
  </si>
  <si>
    <t>13/05/2025</t>
  </si>
  <si>
    <t>13077.0</t>
  </si>
  <si>
    <t>Linda</t>
  </si>
  <si>
    <t>2023/07/07</t>
  </si>
  <si>
    <t>$12494.0</t>
  </si>
  <si>
    <t>Kevin</t>
  </si>
  <si>
    <t>30/01/2023</t>
  </si>
  <si>
    <t>13113.0</t>
  </si>
  <si>
    <t xml:space="preserve">  CLOTHING  </t>
  </si>
  <si>
    <t>2023-12-31</t>
  </si>
  <si>
    <t>13723.0</t>
  </si>
  <si>
    <t>Austin</t>
  </si>
  <si>
    <t>2023-07-30</t>
  </si>
  <si>
    <t>15443.0</t>
  </si>
  <si>
    <t>toys</t>
  </si>
  <si>
    <t>Denise</t>
  </si>
  <si>
    <t xml:space="preserve">  SRI LANKA  </t>
  </si>
  <si>
    <t>26/12/2024</t>
  </si>
  <si>
    <t>16609.0</t>
  </si>
  <si>
    <t>Eric</t>
  </si>
  <si>
    <t>2024-10-08</t>
  </si>
  <si>
    <t>$13872.0</t>
  </si>
  <si>
    <t>Roger</t>
  </si>
  <si>
    <t>20/07/2024</t>
  </si>
  <si>
    <t>8435.0</t>
  </si>
  <si>
    <t>Nicole</t>
  </si>
  <si>
    <t>2024-07-22</t>
  </si>
  <si>
    <t>16829.0</t>
  </si>
  <si>
    <t xml:space="preserve">  ELECTRONICS  </t>
  </si>
  <si>
    <t>Adam</t>
  </si>
  <si>
    <t>04-28-2024</t>
  </si>
  <si>
    <t>14469.0</t>
  </si>
  <si>
    <t>Nicholas</t>
  </si>
  <si>
    <t>2022-12-16</t>
  </si>
  <si>
    <t>13816.0</t>
  </si>
  <si>
    <t>Marcia</t>
  </si>
  <si>
    <t>2022-12-08</t>
  </si>
  <si>
    <t>14143.0</t>
  </si>
  <si>
    <t>Shawn</t>
  </si>
  <si>
    <t>2024-07-23</t>
  </si>
  <si>
    <t>3918.0</t>
  </si>
  <si>
    <t xml:space="preserve">  TOYS  </t>
  </si>
  <si>
    <t>Stephen</t>
  </si>
  <si>
    <t>11-25-2024</t>
  </si>
  <si>
    <t>18620.0</t>
  </si>
  <si>
    <t>Jacob</t>
  </si>
  <si>
    <t>03-11-2024</t>
  </si>
  <si>
    <t>$19165.0</t>
  </si>
  <si>
    <t>Rachel</t>
  </si>
  <si>
    <t>02/10/2024</t>
  </si>
  <si>
    <t>10578.0</t>
  </si>
  <si>
    <t>Gerald</t>
  </si>
  <si>
    <t>2024/06/07</t>
  </si>
  <si>
    <t>18674.0</t>
  </si>
  <si>
    <t>Robert</t>
  </si>
  <si>
    <t>2024/08/05</t>
  </si>
  <si>
    <t>6831.0</t>
  </si>
  <si>
    <t>Christopher</t>
  </si>
  <si>
    <t>05-31-2022</t>
  </si>
  <si>
    <t>1952.0</t>
  </si>
  <si>
    <t>2025-03-13</t>
  </si>
  <si>
    <t>$4737.0</t>
  </si>
  <si>
    <t>13/07/2022</t>
  </si>
  <si>
    <t>4288.0</t>
  </si>
  <si>
    <t>Carrie</t>
  </si>
  <si>
    <t>pakistan</t>
  </si>
  <si>
    <t>2023-11-22</t>
  </si>
  <si>
    <t>13099.0</t>
  </si>
  <si>
    <t>Heather</t>
  </si>
  <si>
    <t>2024-05-18</t>
  </si>
  <si>
    <t>766.0</t>
  </si>
  <si>
    <t>Mary</t>
  </si>
  <si>
    <t>afghanistan</t>
  </si>
  <si>
    <t>2025-05-07</t>
  </si>
  <si>
    <t>11211.0</t>
  </si>
  <si>
    <t>Sheri</t>
  </si>
  <si>
    <t xml:space="preserve">  INDIA  </t>
  </si>
  <si>
    <t>06/02/2023</t>
  </si>
  <si>
    <t>8358.0</t>
  </si>
  <si>
    <t>2024-02-27</t>
  </si>
  <si>
    <t>10618.0</t>
  </si>
  <si>
    <t>2022-11-26</t>
  </si>
  <si>
    <t>10457.0</t>
  </si>
  <si>
    <t>Victoria</t>
  </si>
  <si>
    <t>01/10/2022</t>
  </si>
  <si>
    <t>6476.0</t>
  </si>
  <si>
    <t>Anne</t>
  </si>
  <si>
    <t>2022-07-14</t>
  </si>
  <si>
    <t>Crystal</t>
  </si>
  <si>
    <t>2024/09/21</t>
  </si>
  <si>
    <t>5401.0</t>
  </si>
  <si>
    <t>Electronics</t>
  </si>
  <si>
    <t>Janet</t>
  </si>
  <si>
    <t>01-24-2023</t>
  </si>
  <si>
    <t>1115.0</t>
  </si>
  <si>
    <t>Ricky</t>
  </si>
  <si>
    <t>03/01/2025</t>
  </si>
  <si>
    <t>4118.0</t>
  </si>
  <si>
    <t>Cody</t>
  </si>
  <si>
    <t>17/06/2023</t>
  </si>
  <si>
    <t>4732.0</t>
  </si>
  <si>
    <t>Colleen</t>
  </si>
  <si>
    <t>2024/10/17</t>
  </si>
  <si>
    <t>-13759.0</t>
  </si>
  <si>
    <t xml:space="preserve"> Electronics </t>
  </si>
  <si>
    <t>Stephanie</t>
  </si>
  <si>
    <t>2023-05-28</t>
  </si>
  <si>
    <t>3856.0</t>
  </si>
  <si>
    <t>Patrick</t>
  </si>
  <si>
    <t>2024-08-20</t>
  </si>
  <si>
    <t>12438.0</t>
  </si>
  <si>
    <t xml:space="preserve"> Bangladesh </t>
  </si>
  <si>
    <t>02-18-2025</t>
  </si>
  <si>
    <t>11929.0</t>
  </si>
  <si>
    <t xml:space="preserve"> Clothing </t>
  </si>
  <si>
    <t>07-25-2024</t>
  </si>
  <si>
    <t>7088.0</t>
  </si>
  <si>
    <t>Andrea</t>
  </si>
  <si>
    <t>10-16-2023</t>
  </si>
  <si>
    <t>16621.0</t>
  </si>
  <si>
    <t>Kenneth</t>
  </si>
  <si>
    <t>2024-11-21</t>
  </si>
  <si>
    <t>5515.0</t>
  </si>
  <si>
    <t>Samantha</t>
  </si>
  <si>
    <t>10/02/2025</t>
  </si>
  <si>
    <t>4424.0</t>
  </si>
  <si>
    <t>Sean</t>
  </si>
  <si>
    <t>sri lanka</t>
  </si>
  <si>
    <t>2024/03/04</t>
  </si>
  <si>
    <t>13529.0</t>
  </si>
  <si>
    <t>23/07/2023</t>
  </si>
  <si>
    <t>13146.0</t>
  </si>
  <si>
    <t>Erin</t>
  </si>
  <si>
    <t>17/07/2022</t>
  </si>
  <si>
    <t>17434.0</t>
  </si>
  <si>
    <t>Diana</t>
  </si>
  <si>
    <t>2022/11/29</t>
  </si>
  <si>
    <t>7096.0</t>
  </si>
  <si>
    <t>03-23-2023</t>
  </si>
  <si>
    <t>3241.0</t>
  </si>
  <si>
    <t>electronics</t>
  </si>
  <si>
    <t>Kristina</t>
  </si>
  <si>
    <t>06-20-2024</t>
  </si>
  <si>
    <t>14160.0</t>
  </si>
  <si>
    <t>Hunter</t>
  </si>
  <si>
    <t>29/01/2025</t>
  </si>
  <si>
    <t>13010.0</t>
  </si>
  <si>
    <t>04-04-2025</t>
  </si>
  <si>
    <t>-5064.0</t>
  </si>
  <si>
    <t>Melissa</t>
  </si>
  <si>
    <t>28/06/2024</t>
  </si>
  <si>
    <t>9865.0</t>
  </si>
  <si>
    <t>15/06/2022</t>
  </si>
  <si>
    <t>6084.0</t>
  </si>
  <si>
    <t>21/04/2025</t>
  </si>
  <si>
    <t>11075.0</t>
  </si>
  <si>
    <t>08-23-2024</t>
  </si>
  <si>
    <t>8937.0</t>
  </si>
  <si>
    <t>Joshua</t>
  </si>
  <si>
    <t>12-23-2022</t>
  </si>
  <si>
    <t>1220.0</t>
  </si>
  <si>
    <t>Joseph</t>
  </si>
  <si>
    <t>2024/07/21</t>
  </si>
  <si>
    <t>16708.0</t>
  </si>
  <si>
    <t>Lisa</t>
  </si>
  <si>
    <t>04-19-2023</t>
  </si>
  <si>
    <t>5010.0</t>
  </si>
  <si>
    <t>Vickie</t>
  </si>
  <si>
    <t>18/03/2023</t>
  </si>
  <si>
    <t>12863.0</t>
  </si>
  <si>
    <t>Mark</t>
  </si>
  <si>
    <t>11-28-2022</t>
  </si>
  <si>
    <t>14278.0</t>
  </si>
  <si>
    <t>06-04-2023</t>
  </si>
  <si>
    <t>11575.0</t>
  </si>
  <si>
    <t>Madison</t>
  </si>
  <si>
    <t>2023-04-15</t>
  </si>
  <si>
    <t>1162.0</t>
  </si>
  <si>
    <t>2022-07-22</t>
  </si>
  <si>
    <t>17201.0</t>
  </si>
  <si>
    <t>07-20-2022</t>
  </si>
  <si>
    <t>3696.0</t>
  </si>
  <si>
    <t>Jose</t>
  </si>
  <si>
    <t>2024-11-06</t>
  </si>
  <si>
    <t>18640.0</t>
  </si>
  <si>
    <t>Nancy</t>
  </si>
  <si>
    <t>2024-06-08</t>
  </si>
  <si>
    <t>3366.0</t>
  </si>
  <si>
    <t>Devin</t>
  </si>
  <si>
    <t>2024/04/11</t>
  </si>
  <si>
    <t>17360.0</t>
  </si>
  <si>
    <t>Melody</t>
  </si>
  <si>
    <t>2024-01-24</t>
  </si>
  <si>
    <t>-18024.0</t>
  </si>
  <si>
    <t>2023-07-10</t>
  </si>
  <si>
    <t>11573.0</t>
  </si>
  <si>
    <t>Amy</t>
  </si>
  <si>
    <t>11-22-2024</t>
  </si>
  <si>
    <t>13556.0</t>
  </si>
  <si>
    <t>Jennifer</t>
  </si>
  <si>
    <t>07-09-2022</t>
  </si>
  <si>
    <t>4264.0</t>
  </si>
  <si>
    <t>Teresa</t>
  </si>
  <si>
    <t>11-28-2024</t>
  </si>
  <si>
    <t>11016.0</t>
  </si>
  <si>
    <t xml:space="preserve">  BOOKS  </t>
  </si>
  <si>
    <t>April</t>
  </si>
  <si>
    <t>2025-04-30</t>
  </si>
  <si>
    <t>2148.0</t>
  </si>
  <si>
    <t>Richard</t>
  </si>
  <si>
    <t>2023/11/27</t>
  </si>
  <si>
    <t>8791.0</t>
  </si>
  <si>
    <t>Cassandra</t>
  </si>
  <si>
    <t>2022-08-09</t>
  </si>
  <si>
    <t>16578.0</t>
  </si>
  <si>
    <t>Charles</t>
  </si>
  <si>
    <t>2024/01/22</t>
  </si>
  <si>
    <t>5744.0</t>
  </si>
  <si>
    <t>29/12/2022</t>
  </si>
  <si>
    <t>4412.0</t>
  </si>
  <si>
    <t>Arthur</t>
  </si>
  <si>
    <t>07/05/2023</t>
  </si>
  <si>
    <t>2017.0</t>
  </si>
  <si>
    <t>Nepal</t>
  </si>
  <si>
    <t>23/01/2024</t>
  </si>
  <si>
    <t>17155.0</t>
  </si>
  <si>
    <t>Jeremy</t>
  </si>
  <si>
    <t>155.0</t>
  </si>
  <si>
    <t xml:space="preserve"> Toys </t>
  </si>
  <si>
    <t>Danielle</t>
  </si>
  <si>
    <t>2023-05-17</t>
  </si>
  <si>
    <t>-226.0</t>
  </si>
  <si>
    <t>Justin</t>
  </si>
  <si>
    <t>2024/04/22</t>
  </si>
  <si>
    <t>19556.0</t>
  </si>
  <si>
    <t>Yolanda</t>
  </si>
  <si>
    <t>25/01/2023</t>
  </si>
  <si>
    <t>18217.0</t>
  </si>
  <si>
    <t>Veronica</t>
  </si>
  <si>
    <t>2024/07/29</t>
  </si>
  <si>
    <t>5879.0</t>
  </si>
  <si>
    <t>08-07-2023</t>
  </si>
  <si>
    <t>7043.0</t>
  </si>
  <si>
    <t>05/09/2024</t>
  </si>
  <si>
    <t>-15134.0</t>
  </si>
  <si>
    <t>2024/05/04</t>
  </si>
  <si>
    <t>1631.0</t>
  </si>
  <si>
    <t>Nathan</t>
  </si>
  <si>
    <t>02-06-2024</t>
  </si>
  <si>
    <t>11414.0</t>
  </si>
  <si>
    <t>08-31-2024</t>
  </si>
  <si>
    <t>Tonya</t>
  </si>
  <si>
    <t>01-25-2023</t>
  </si>
  <si>
    <t>$7041.0</t>
  </si>
  <si>
    <t>Thomas</t>
  </si>
  <si>
    <t>17/01/2025</t>
  </si>
  <si>
    <t>7143.0</t>
  </si>
  <si>
    <t>Angela</t>
  </si>
  <si>
    <t xml:space="preserve"> India </t>
  </si>
  <si>
    <t>2023-01-14</t>
  </si>
  <si>
    <t>18130.0</t>
  </si>
  <si>
    <t>Steven</t>
  </si>
  <si>
    <t>26/08/2022</t>
  </si>
  <si>
    <t>5660.0</t>
  </si>
  <si>
    <t>2025-02-06</t>
  </si>
  <si>
    <t>6383.0</t>
  </si>
  <si>
    <t>03/11/2022</t>
  </si>
  <si>
    <t>7038.0</t>
  </si>
  <si>
    <t>12-22-2023</t>
  </si>
  <si>
    <t>9610.0</t>
  </si>
  <si>
    <t>Raymond</t>
  </si>
  <si>
    <t>2023/08/05</t>
  </si>
  <si>
    <t>1453.0</t>
  </si>
  <si>
    <t>2023-12-23</t>
  </si>
  <si>
    <t>6413.0</t>
  </si>
  <si>
    <t>Sarah</t>
  </si>
  <si>
    <t>2022-10-18</t>
  </si>
  <si>
    <t>3787.0</t>
  </si>
  <si>
    <t>2023/11/01</t>
  </si>
  <si>
    <t>Dominic</t>
  </si>
  <si>
    <t>05-05-2023</t>
  </si>
  <si>
    <t>7286.0</t>
  </si>
  <si>
    <t>2025/01/25</t>
  </si>
  <si>
    <t>3328.0</t>
  </si>
  <si>
    <t>2023-08-27</t>
  </si>
  <si>
    <t>14331.0</t>
  </si>
  <si>
    <t>Cheryl</t>
  </si>
  <si>
    <t>10-15-2023</t>
  </si>
  <si>
    <t>3819.0</t>
  </si>
  <si>
    <t>Kathleen</t>
  </si>
  <si>
    <t>2023-10-28</t>
  </si>
  <si>
    <t>12991.0</t>
  </si>
  <si>
    <t>Felicia</t>
  </si>
  <si>
    <t>08-11-2022</t>
  </si>
  <si>
    <t>1424.0</t>
  </si>
  <si>
    <t>Kristen</t>
  </si>
  <si>
    <t>02-28-2023</t>
  </si>
  <si>
    <t>10115.0</t>
  </si>
  <si>
    <t>Karen</t>
  </si>
  <si>
    <t>15/01/2024</t>
  </si>
  <si>
    <t>5745.0</t>
  </si>
  <si>
    <t>Maria</t>
  </si>
  <si>
    <t>27/11/2023</t>
  </si>
  <si>
    <t>15206.0</t>
  </si>
  <si>
    <t>Meghan</t>
  </si>
  <si>
    <t>2023-08-12</t>
  </si>
  <si>
    <t>17007.0</t>
  </si>
  <si>
    <t>Bruce</t>
  </si>
  <si>
    <t>16/06/2024</t>
  </si>
  <si>
    <t>15468.0</t>
  </si>
  <si>
    <t>Benjamin</t>
  </si>
  <si>
    <t>21/12/2023</t>
  </si>
  <si>
    <t>8250.0</t>
  </si>
  <si>
    <t>2023/10/28</t>
  </si>
  <si>
    <t>17815.0</t>
  </si>
  <si>
    <t>Scott</t>
  </si>
  <si>
    <t>08/04/2025</t>
  </si>
  <si>
    <t>8041.0</t>
  </si>
  <si>
    <t>11-12-2022</t>
  </si>
  <si>
    <t>1314.0</t>
  </si>
  <si>
    <t>Erika</t>
  </si>
  <si>
    <t>2023-07-27</t>
  </si>
  <si>
    <t>7751.0</t>
  </si>
  <si>
    <t>Christian</t>
  </si>
  <si>
    <t>03-08-2025</t>
  </si>
  <si>
    <t>16489.0</t>
  </si>
  <si>
    <t>Leon</t>
  </si>
  <si>
    <t>04/01/2024</t>
  </si>
  <si>
    <t>4308.0</t>
  </si>
  <si>
    <t>2022-05-21</t>
  </si>
  <si>
    <t>5340.0</t>
  </si>
  <si>
    <t>30/03/2024</t>
  </si>
  <si>
    <t>$14482.0</t>
  </si>
  <si>
    <t>2023/01/15</t>
  </si>
  <si>
    <t>7594.0</t>
  </si>
  <si>
    <t>Martha</t>
  </si>
  <si>
    <t>14/01/2023</t>
  </si>
  <si>
    <t>4770.0</t>
  </si>
  <si>
    <t>Sara</t>
  </si>
  <si>
    <t>31/12/2022</t>
  </si>
  <si>
    <t>1910.0</t>
  </si>
  <si>
    <t>09/02/2025</t>
  </si>
  <si>
    <t>19316.0</t>
  </si>
  <si>
    <t>Paul</t>
  </si>
  <si>
    <t>02/05/2023</t>
  </si>
  <si>
    <t>$767.0</t>
  </si>
  <si>
    <t>Katelyn</t>
  </si>
  <si>
    <t>2025-04-22</t>
  </si>
  <si>
    <t>13528.0</t>
  </si>
  <si>
    <t>Cynthia</t>
  </si>
  <si>
    <t>01-02-2025</t>
  </si>
  <si>
    <t>18371.0</t>
  </si>
  <si>
    <t>Maureen</t>
  </si>
  <si>
    <t>2023/10/17</t>
  </si>
  <si>
    <t>2225.0</t>
  </si>
  <si>
    <t>05-13-2023</t>
  </si>
  <si>
    <t>9211.0</t>
  </si>
  <si>
    <t>Sherry</t>
  </si>
  <si>
    <t>05/07/2022</t>
  </si>
  <si>
    <t>17244.0</t>
  </si>
  <si>
    <t>2023/03/24</t>
  </si>
  <si>
    <t>12777.0</t>
  </si>
  <si>
    <t>10-14-2023</t>
  </si>
  <si>
    <t>15544.0</t>
  </si>
  <si>
    <t>Rhonda</t>
  </si>
  <si>
    <t>2022-06-07</t>
  </si>
  <si>
    <t>17740.0</t>
  </si>
  <si>
    <t>2022-11-06</t>
  </si>
  <si>
    <t>10480.0</t>
  </si>
  <si>
    <t>2024-07-26</t>
  </si>
  <si>
    <t>10367.0</t>
  </si>
  <si>
    <t>05-07-2025</t>
  </si>
  <si>
    <t>$11211.0</t>
  </si>
  <si>
    <t>Sandra</t>
  </si>
  <si>
    <t>2023/04/10</t>
  </si>
  <si>
    <t>13650.0</t>
  </si>
  <si>
    <t>12/12/2024</t>
  </si>
  <si>
    <t>7963.0</t>
  </si>
  <si>
    <t>2022-11-10</t>
  </si>
  <si>
    <t>10140.0</t>
  </si>
  <si>
    <t>Troy</t>
  </si>
  <si>
    <t>2024-04-22</t>
  </si>
  <si>
    <t>12707.0</t>
  </si>
  <si>
    <t>06-01-2024</t>
  </si>
  <si>
    <t>4400.0</t>
  </si>
  <si>
    <t>7450.0</t>
  </si>
  <si>
    <t>2023-11-26</t>
  </si>
  <si>
    <t>15779.0</t>
  </si>
  <si>
    <t>15/02/2023</t>
  </si>
  <si>
    <t>12319.0</t>
  </si>
  <si>
    <t>Wayne</t>
  </si>
  <si>
    <t>04-18-2025</t>
  </si>
  <si>
    <t>6569.0</t>
  </si>
  <si>
    <t>Melanie</t>
  </si>
  <si>
    <t>20/04/2025</t>
  </si>
  <si>
    <t>$923.0</t>
  </si>
  <si>
    <t>29/10/2022</t>
  </si>
  <si>
    <t>946.0</t>
  </si>
  <si>
    <t>2025-04-09</t>
  </si>
  <si>
    <t>19223.0</t>
  </si>
  <si>
    <t>Courtney</t>
  </si>
  <si>
    <t>29/11/2023</t>
  </si>
  <si>
    <t>15585.0</t>
  </si>
  <si>
    <t>Frances</t>
  </si>
  <si>
    <t>2022-10-11</t>
  </si>
  <si>
    <t>$18481.0</t>
  </si>
  <si>
    <t>2024/03/15</t>
  </si>
  <si>
    <t>7677.0</t>
  </si>
  <si>
    <t>19298.0</t>
  </si>
  <si>
    <t>Vanessa</t>
  </si>
  <si>
    <t>2024-12-10</t>
  </si>
  <si>
    <t>11713.0</t>
  </si>
  <si>
    <t>Alan</t>
  </si>
  <si>
    <t>2024-03-20</t>
  </si>
  <si>
    <t>13907.0</t>
  </si>
  <si>
    <t>08-08-2023</t>
  </si>
  <si>
    <t>5076.0</t>
  </si>
  <si>
    <t>06-15-2024</t>
  </si>
  <si>
    <t>8612.0</t>
  </si>
  <si>
    <t>Kelli</t>
  </si>
  <si>
    <t>2024/04/30</t>
  </si>
  <si>
    <t>2293.0</t>
  </si>
  <si>
    <t>05-21-2024</t>
  </si>
  <si>
    <t>15845.0</t>
  </si>
  <si>
    <t>05-22-2022</t>
  </si>
  <si>
    <t>-5970.0</t>
  </si>
  <si>
    <t>2023-11-29</t>
  </si>
  <si>
    <t>Alexandra</t>
  </si>
  <si>
    <t>08-15-2024</t>
  </si>
  <si>
    <t>2070.0</t>
  </si>
  <si>
    <t>07-20-2023</t>
  </si>
  <si>
    <t>5850.0</t>
  </si>
  <si>
    <t>Ian</t>
  </si>
  <si>
    <t>27/07/2024</t>
  </si>
  <si>
    <t>11737.0</t>
  </si>
  <si>
    <t>Lonnie</t>
  </si>
  <si>
    <t>11-18-2023</t>
  </si>
  <si>
    <t>$19970.0</t>
  </si>
  <si>
    <t>2024/03/20</t>
  </si>
  <si>
    <t>19281.0</t>
  </si>
  <si>
    <t>30/12/2022</t>
  </si>
  <si>
    <t>10444.0</t>
  </si>
  <si>
    <t>Andrew</t>
  </si>
  <si>
    <t>16/02/2024</t>
  </si>
  <si>
    <t>14612.0</t>
  </si>
  <si>
    <t>Taylor</t>
  </si>
  <si>
    <t>2024/12/26</t>
  </si>
  <si>
    <t>$4909.0</t>
  </si>
  <si>
    <t>2022-11-11</t>
  </si>
  <si>
    <t>6982.0</t>
  </si>
  <si>
    <t>Phillip</t>
  </si>
  <si>
    <t>28/03/2024</t>
  </si>
  <si>
    <t>11593.0</t>
  </si>
  <si>
    <t>11/08/2024</t>
  </si>
  <si>
    <t>2205.0</t>
  </si>
  <si>
    <t>11-10-2022</t>
  </si>
  <si>
    <t>4430.0</t>
  </si>
  <si>
    <t>2024-02-18</t>
  </si>
  <si>
    <t>12054.0</t>
  </si>
  <si>
    <t>2024/05/22</t>
  </si>
  <si>
    <t>1928.0</t>
  </si>
  <si>
    <t>Charlene</t>
  </si>
  <si>
    <t>16/07/2024</t>
  </si>
  <si>
    <t>6665.0</t>
  </si>
  <si>
    <t>2023/11/17</t>
  </si>
  <si>
    <t>$1022.0</t>
  </si>
  <si>
    <t>Katherine</t>
  </si>
  <si>
    <t>02-20-2024</t>
  </si>
  <si>
    <t>8252.0</t>
  </si>
  <si>
    <t>Bonnie</t>
  </si>
  <si>
    <t>2023-05-29</t>
  </si>
  <si>
    <t>12875.0</t>
  </si>
  <si>
    <t>2023/02/22</t>
  </si>
  <si>
    <t>10250.0</t>
  </si>
  <si>
    <t>2022/12/30</t>
  </si>
  <si>
    <t>5222.0</t>
  </si>
  <si>
    <t>Kayla</t>
  </si>
  <si>
    <t>13/03/2023</t>
  </si>
  <si>
    <t>19187.0</t>
  </si>
  <si>
    <t>08-08-2022</t>
  </si>
  <si>
    <t>15485.0</t>
  </si>
  <si>
    <t>12-15-2023</t>
  </si>
  <si>
    <t>14224.0</t>
  </si>
  <si>
    <t>Donald</t>
  </si>
  <si>
    <t>22/01/2023</t>
  </si>
  <si>
    <t>$14023.0</t>
  </si>
  <si>
    <t>2023-03-31</t>
  </si>
  <si>
    <t>519.0</t>
  </si>
  <si>
    <t>28/11/2023</t>
  </si>
  <si>
    <t>11103.0</t>
  </si>
  <si>
    <t>Amber</t>
  </si>
  <si>
    <t>14/05/2023</t>
  </si>
  <si>
    <t>13072.0</t>
  </si>
  <si>
    <t>05-25-2022</t>
  </si>
  <si>
    <t>10668.0</t>
  </si>
  <si>
    <t>Amanda</t>
  </si>
  <si>
    <t>02/11/2022</t>
  </si>
  <si>
    <t>8515.0</t>
  </si>
  <si>
    <t>2024/03/25</t>
  </si>
  <si>
    <t>12273.0</t>
  </si>
  <si>
    <t>08-27-2024</t>
  </si>
  <si>
    <t>9650.0</t>
  </si>
  <si>
    <t>02-19-2024</t>
  </si>
  <si>
    <t>$8153.0</t>
  </si>
  <si>
    <t>2023/11/25</t>
  </si>
  <si>
    <t>17760.0</t>
  </si>
  <si>
    <t>2023-04-08</t>
  </si>
  <si>
    <t>-3519.0</t>
  </si>
  <si>
    <t>Sergio</t>
  </si>
  <si>
    <t>16/01/2023</t>
  </si>
  <si>
    <t>4644.0</t>
  </si>
  <si>
    <t>09-13-2024</t>
  </si>
  <si>
    <t>19308.0</t>
  </si>
  <si>
    <t>09-24-2023</t>
  </si>
  <si>
    <t>9960.0</t>
  </si>
  <si>
    <t>3809.0</t>
  </si>
  <si>
    <t>Marc</t>
  </si>
  <si>
    <t>08-05-2022</t>
  </si>
  <si>
    <t>18322.0</t>
  </si>
  <si>
    <t>10-09-2022</t>
  </si>
  <si>
    <t>2343.0</t>
  </si>
  <si>
    <t>2023/08/12</t>
  </si>
  <si>
    <t>10/10/2024</t>
  </si>
  <si>
    <t>9965.0</t>
  </si>
  <si>
    <t>07/09/2022</t>
  </si>
  <si>
    <t>12919.0</t>
  </si>
  <si>
    <t>2022-07-25</t>
  </si>
  <si>
    <t>4000.0</t>
  </si>
  <si>
    <t>Ruth</t>
  </si>
  <si>
    <t>2023-03-14</t>
  </si>
  <si>
    <t>15870.0</t>
  </si>
  <si>
    <t>Carolyn</t>
  </si>
  <si>
    <t>26/04/2025</t>
  </si>
  <si>
    <t>1348.0</t>
  </si>
  <si>
    <t>02/09/2022</t>
  </si>
  <si>
    <t>13334.0</t>
  </si>
  <si>
    <t>4877.0</t>
  </si>
  <si>
    <t>2023-08-20</t>
  </si>
  <si>
    <t>7500.0</t>
  </si>
  <si>
    <t>07-28-2022</t>
  </si>
  <si>
    <t>14589.0</t>
  </si>
  <si>
    <t>Fernando</t>
  </si>
  <si>
    <t>2024-12-24</t>
  </si>
  <si>
    <t>-8107.0</t>
  </si>
  <si>
    <t>2024/02/10</t>
  </si>
  <si>
    <t>4460.0</t>
  </si>
  <si>
    <t>07/08/2023</t>
  </si>
  <si>
    <t>17849.0</t>
  </si>
  <si>
    <t>2023-06-11</t>
  </si>
  <si>
    <t>16013.0</t>
  </si>
  <si>
    <t>08-21-2022</t>
  </si>
  <si>
    <t>6471.0</t>
  </si>
  <si>
    <t>06-18-2022</t>
  </si>
  <si>
    <t>13041.0</t>
  </si>
  <si>
    <t>2024/08/07</t>
  </si>
  <si>
    <t>9448.0</t>
  </si>
  <si>
    <t>2023-07-20</t>
  </si>
  <si>
    <t>4463.0</t>
  </si>
  <si>
    <t>18/09/2022</t>
  </si>
  <si>
    <t>10-18-2023</t>
  </si>
  <si>
    <t>8802.0</t>
  </si>
  <si>
    <t>2022-10-15</t>
  </si>
  <si>
    <t>4954.0</t>
  </si>
  <si>
    <t>2023/01/10</t>
  </si>
  <si>
    <t>14409.0</t>
  </si>
  <si>
    <t>2025-03-11</t>
  </si>
  <si>
    <t>08-06-2023</t>
  </si>
  <si>
    <t>109.0</t>
  </si>
  <si>
    <t>2023-10-29</t>
  </si>
  <si>
    <t>15247.0</t>
  </si>
  <si>
    <t>2024-09-01</t>
  </si>
  <si>
    <t>19860.0</t>
  </si>
  <si>
    <t>10-06-2022</t>
  </si>
  <si>
    <t>8572.0</t>
  </si>
  <si>
    <t>2022-09-01</t>
  </si>
  <si>
    <t>19044.0</t>
  </si>
  <si>
    <t>21/08/2024</t>
  </si>
  <si>
    <t>15474.0</t>
  </si>
  <si>
    <t>Peggy</t>
  </si>
  <si>
    <t>2022-11-25</t>
  </si>
  <si>
    <t>-15258.0</t>
  </si>
  <si>
    <t>08-10-2023</t>
  </si>
  <si>
    <t>7412.0</t>
  </si>
  <si>
    <t>Tina</t>
  </si>
  <si>
    <t>2023/06/20</t>
  </si>
  <si>
    <t>2690.0</t>
  </si>
  <si>
    <t>Shannon</t>
  </si>
  <si>
    <t>2023/04/15</t>
  </si>
  <si>
    <t>604.0</t>
  </si>
  <si>
    <t>09-28-2023</t>
  </si>
  <si>
    <t>-19970.0</t>
  </si>
  <si>
    <t>Corey</t>
  </si>
  <si>
    <t>2024-01-27</t>
  </si>
  <si>
    <t>2216.0</t>
  </si>
  <si>
    <t>Jeffrey</t>
  </si>
  <si>
    <t>01-18-2024</t>
  </si>
  <si>
    <t>2879.0</t>
  </si>
  <si>
    <t>2024/12/05</t>
  </si>
  <si>
    <t>6838.0</t>
  </si>
  <si>
    <t>2022-08-29</t>
  </si>
  <si>
    <t>12299.0</t>
  </si>
  <si>
    <t>Spencer</t>
  </si>
  <si>
    <t>2023/05/14</t>
  </si>
  <si>
    <t>4551.0</t>
  </si>
  <si>
    <t>2024-12-14</t>
  </si>
  <si>
    <t>2292.0</t>
  </si>
  <si>
    <t>Jesus</t>
  </si>
  <si>
    <t>07/07/2022</t>
  </si>
  <si>
    <t>11360.0</t>
  </si>
  <si>
    <t>2024/06/06</t>
  </si>
  <si>
    <t>17549.0</t>
  </si>
  <si>
    <t>Tyler</t>
  </si>
  <si>
    <t>2022/06/02</t>
  </si>
  <si>
    <t>5586.0</t>
  </si>
  <si>
    <t>Harold</t>
  </si>
  <si>
    <t>16/04/2023</t>
  </si>
  <si>
    <t>3912.0</t>
  </si>
  <si>
    <t>Douglas</t>
  </si>
  <si>
    <t>2024-04-28</t>
  </si>
  <si>
    <t>8489.0</t>
  </si>
  <si>
    <t>Willie</t>
  </si>
  <si>
    <t>11/09/2023</t>
  </si>
  <si>
    <t>17408.0</t>
  </si>
  <si>
    <t>Calvin</t>
  </si>
  <si>
    <t>05/01/2025</t>
  </si>
  <si>
    <t>7904.0</t>
  </si>
  <si>
    <t>Terri</t>
  </si>
  <si>
    <t>28/12/2023</t>
  </si>
  <si>
    <t>14377.0</t>
  </si>
  <si>
    <t>Vincent</t>
  </si>
  <si>
    <t>2022/09/25</t>
  </si>
  <si>
    <t>16733.0</t>
  </si>
  <si>
    <t>5508.0</t>
  </si>
  <si>
    <t>$7141.0</t>
  </si>
  <si>
    <t>2024/02/11</t>
  </si>
  <si>
    <t>12115.0</t>
  </si>
  <si>
    <t>Pamela</t>
  </si>
  <si>
    <t>11-17-2023</t>
  </si>
  <si>
    <t>13846.0</t>
  </si>
  <si>
    <t>Molly</t>
  </si>
  <si>
    <t>05-24-2024</t>
  </si>
  <si>
    <t>11804.0</t>
  </si>
  <si>
    <t>Peter</t>
  </si>
  <si>
    <t>2024/08/03</t>
  </si>
  <si>
    <t>-9535.0</t>
  </si>
  <si>
    <t>2023/04/08</t>
  </si>
  <si>
    <t>9024.0</t>
  </si>
  <si>
    <t>07-21-2024</t>
  </si>
  <si>
    <t>17944.0</t>
  </si>
  <si>
    <t>2023-12-13</t>
  </si>
  <si>
    <t>828.0</t>
  </si>
  <si>
    <t>Lindsay</t>
  </si>
  <si>
    <t>2022-07-15</t>
  </si>
  <si>
    <t>7070.0</t>
  </si>
  <si>
    <t>03-14-2024</t>
  </si>
  <si>
    <t>$9433.0</t>
  </si>
  <si>
    <t>Janice</t>
  </si>
  <si>
    <t>09-07-2022</t>
  </si>
  <si>
    <t>17/01/2024</t>
  </si>
  <si>
    <t>18688.0</t>
  </si>
  <si>
    <t>2024-09-30</t>
  </si>
  <si>
    <t>8887.0</t>
  </si>
  <si>
    <t>Holly</t>
  </si>
  <si>
    <t>05/02/2025</t>
  </si>
  <si>
    <t>18544.0</t>
  </si>
  <si>
    <t>2023-12-02</t>
  </si>
  <si>
    <t>7339.0</t>
  </si>
  <si>
    <t>Jenny</t>
  </si>
  <si>
    <t>19/04/2025</t>
  </si>
  <si>
    <t>6190.0</t>
  </si>
  <si>
    <t>03/07/2024</t>
  </si>
  <si>
    <t>18664.0</t>
  </si>
  <si>
    <t>2023-04-25</t>
  </si>
  <si>
    <t>19808.0</t>
  </si>
  <si>
    <t>06-22-2023</t>
  </si>
  <si>
    <t>4258.0</t>
  </si>
  <si>
    <t>2025/01/21</t>
  </si>
  <si>
    <t>10261.0</t>
  </si>
  <si>
    <t>Valerie</t>
  </si>
  <si>
    <t>10-03-2022</t>
  </si>
  <si>
    <t>12244.0</t>
  </si>
  <si>
    <t>2022-06-25</t>
  </si>
  <si>
    <t>18460.0</t>
  </si>
  <si>
    <t>09/04/2024</t>
  </si>
  <si>
    <t>16382.0</t>
  </si>
  <si>
    <t>Matthew</t>
  </si>
  <si>
    <t>07-07-2024</t>
  </si>
  <si>
    <t>16744.0</t>
  </si>
  <si>
    <t>09/06/2022</t>
  </si>
  <si>
    <t>10887.0</t>
  </si>
  <si>
    <t>Joyce</t>
  </si>
  <si>
    <t>2023-05-04</t>
  </si>
  <si>
    <t>14497.0</t>
  </si>
  <si>
    <t>Dawn</t>
  </si>
  <si>
    <t>04-25-2025</t>
  </si>
  <si>
    <t>18484.0</t>
  </si>
  <si>
    <t>2022-11-01</t>
  </si>
  <si>
    <t>11230.0</t>
  </si>
  <si>
    <t>11-24-2022</t>
  </si>
  <si>
    <t>17122.0</t>
  </si>
  <si>
    <t>05/02/2024</t>
  </si>
  <si>
    <t>19407.0</t>
  </si>
  <si>
    <t>09-06-2023</t>
  </si>
  <si>
    <t>10588.0</t>
  </si>
  <si>
    <t>11-03-2024</t>
  </si>
  <si>
    <t>10267.0</t>
  </si>
  <si>
    <t>2024-03-02</t>
  </si>
  <si>
    <t>8275.0</t>
  </si>
  <si>
    <t>06/01/2023</t>
  </si>
  <si>
    <t>14064.0</t>
  </si>
  <si>
    <t>2022-08-20</t>
  </si>
  <si>
    <t>19661.0</t>
  </si>
  <si>
    <t>2022-09-09</t>
  </si>
  <si>
    <t>19829.0</t>
  </si>
  <si>
    <t>Walter</t>
  </si>
  <si>
    <t>3540.0</t>
  </si>
  <si>
    <t>2024-12-03</t>
  </si>
  <si>
    <t>8817.0</t>
  </si>
  <si>
    <t>16/03/2025</t>
  </si>
  <si>
    <t>402.0</t>
  </si>
  <si>
    <t>2022-08-04</t>
  </si>
  <si>
    <t>6867.0</t>
  </si>
  <si>
    <t>$4424.0</t>
  </si>
  <si>
    <t>Mason</t>
  </si>
  <si>
    <t>2024-06-05</t>
  </si>
  <si>
    <t>6290.0</t>
  </si>
  <si>
    <t>Cameron</t>
  </si>
  <si>
    <t>05-17-2025</t>
  </si>
  <si>
    <t>-6998.0</t>
  </si>
  <si>
    <t>01/02/2024</t>
  </si>
  <si>
    <t>6388.0</t>
  </si>
  <si>
    <t>06-18-2023</t>
  </si>
  <si>
    <t>7583.0</t>
  </si>
  <si>
    <t>11616.0</t>
  </si>
  <si>
    <t>Desiree</t>
  </si>
  <si>
    <t>08-03-2023</t>
  </si>
  <si>
    <t>3736.0</t>
  </si>
  <si>
    <t>14/03/2025</t>
  </si>
  <si>
    <t>6059.0</t>
  </si>
  <si>
    <t>05-03-2025</t>
  </si>
  <si>
    <t>639.0</t>
  </si>
  <si>
    <t>Dustin</t>
  </si>
  <si>
    <t>02/01/2024</t>
  </si>
  <si>
    <t>7773.0</t>
  </si>
  <si>
    <t>Kelly</t>
  </si>
  <si>
    <t>03-26-2023</t>
  </si>
  <si>
    <t>14783.0</t>
  </si>
  <si>
    <t>Alexander</t>
  </si>
  <si>
    <t>2022-11-04</t>
  </si>
  <si>
    <t>5356.0</t>
  </si>
  <si>
    <t>Russell</t>
  </si>
  <si>
    <t>2024-02-12</t>
  </si>
  <si>
    <t>6688.0</t>
  </si>
  <si>
    <t>06-15-2023</t>
  </si>
  <si>
    <t>18349.0</t>
  </si>
  <si>
    <t>07-02-2023</t>
  </si>
  <si>
    <t>335.0</t>
  </si>
  <si>
    <t>Laura</t>
  </si>
  <si>
    <t>2024-05-02</t>
  </si>
  <si>
    <t>6338.0</t>
  </si>
  <si>
    <t>2024-06-21</t>
  </si>
  <si>
    <t>-1162.0</t>
  </si>
  <si>
    <t>Allison</t>
  </si>
  <si>
    <t>2023-02-23</t>
  </si>
  <si>
    <t>$4958.0</t>
  </si>
  <si>
    <t>Ricardo</t>
  </si>
  <si>
    <t>2025-01-29</t>
  </si>
  <si>
    <t>4935.0</t>
  </si>
  <si>
    <t>2024-09-11</t>
  </si>
  <si>
    <t>7049.0</t>
  </si>
  <si>
    <t>Marcus</t>
  </si>
  <si>
    <t>22/02/2025</t>
  </si>
  <si>
    <t>19035.0</t>
  </si>
  <si>
    <t>2022-06-08</t>
  </si>
  <si>
    <t>14937.0</t>
  </si>
  <si>
    <t>10-11-2023</t>
  </si>
  <si>
    <t>14253.0</t>
  </si>
  <si>
    <t>Lee</t>
  </si>
  <si>
    <t>5888.0</t>
  </si>
  <si>
    <t>2024-03-24</t>
  </si>
  <si>
    <t>6268.0</t>
  </si>
  <si>
    <t>2022/10/28</t>
  </si>
  <si>
    <t>2774.0</t>
  </si>
  <si>
    <t>11/03/2025</t>
  </si>
  <si>
    <t>6089.0</t>
  </si>
  <si>
    <t>2023/08/02</t>
  </si>
  <si>
    <t>16617.0</t>
  </si>
  <si>
    <t>2024/06/04</t>
  </si>
  <si>
    <t>18390.0</t>
  </si>
  <si>
    <t>Ellen</t>
  </si>
  <si>
    <t>2023/12/20</t>
  </si>
  <si>
    <t>13668.0</t>
  </si>
  <si>
    <t>27/06/2023</t>
  </si>
  <si>
    <t>-1705.0</t>
  </si>
  <si>
    <t>9164.0</t>
  </si>
  <si>
    <t>Kiara</t>
  </si>
  <si>
    <t>2023-01-18</t>
  </si>
  <si>
    <t>10288.0</t>
  </si>
  <si>
    <t>02/08/2022</t>
  </si>
  <si>
    <t>04-28-2025</t>
  </si>
  <si>
    <t>-5387.0</t>
  </si>
  <si>
    <t>17/09/2023</t>
  </si>
  <si>
    <t>3727.0</t>
  </si>
  <si>
    <t>2022-07-20</t>
  </si>
  <si>
    <t>2024-01-17</t>
  </si>
  <si>
    <t>10276.0</t>
  </si>
  <si>
    <t>21/07/2024</t>
  </si>
  <si>
    <t>04-02-2023</t>
  </si>
  <si>
    <t>6051.0</t>
  </si>
  <si>
    <t>Tanya</t>
  </si>
  <si>
    <t>07-11-2022</t>
  </si>
  <si>
    <t>17675.0</t>
  </si>
  <si>
    <t>2024-09-17</t>
  </si>
  <si>
    <t>18478.0</t>
  </si>
  <si>
    <t>11-21-2023</t>
  </si>
  <si>
    <t>3014.0</t>
  </si>
  <si>
    <t>Jasmine</t>
  </si>
  <si>
    <t>26/01/2025</t>
  </si>
  <si>
    <t>16879.0</t>
  </si>
  <si>
    <t>Megan</t>
  </si>
  <si>
    <t>2024-05-31</t>
  </si>
  <si>
    <t>10011.0</t>
  </si>
  <si>
    <t>Curtis</t>
  </si>
  <si>
    <t>19382.0</t>
  </si>
  <si>
    <t>2022-12-12</t>
  </si>
  <si>
    <t>3491.0</t>
  </si>
  <si>
    <t>20/05/2022</t>
  </si>
  <si>
    <t>7214.0</t>
  </si>
  <si>
    <t>2025-05-18</t>
  </si>
  <si>
    <t>10236.0</t>
  </si>
  <si>
    <t>Timothy</t>
  </si>
  <si>
    <t>05-26-2022</t>
  </si>
  <si>
    <t>177.0</t>
  </si>
  <si>
    <t>Carol</t>
  </si>
  <si>
    <t>10/06/2024</t>
  </si>
  <si>
    <t>6354.0</t>
  </si>
  <si>
    <t>Carla</t>
  </si>
  <si>
    <t>2022/11/04</t>
  </si>
  <si>
    <t>19956.0</t>
  </si>
  <si>
    <t>2022-08-03</t>
  </si>
  <si>
    <t>15354.0</t>
  </si>
  <si>
    <t>Carlos</t>
  </si>
  <si>
    <t>2025-03-22</t>
  </si>
  <si>
    <t>2436.0</t>
  </si>
  <si>
    <t>17/03/2025</t>
  </si>
  <si>
    <t>2572.0</t>
  </si>
  <si>
    <t>21/01/2025</t>
  </si>
  <si>
    <t>17402.0</t>
  </si>
  <si>
    <t>02-01-2025</t>
  </si>
  <si>
    <t>1267.0</t>
  </si>
  <si>
    <t>Seth</t>
  </si>
  <si>
    <t>2024-06-02</t>
  </si>
  <si>
    <t>17200.0</t>
  </si>
  <si>
    <t>2024/03/14</t>
  </si>
  <si>
    <t>17254.0</t>
  </si>
  <si>
    <t>Lindsey</t>
  </si>
  <si>
    <t>2024/08/20</t>
  </si>
  <si>
    <t>9688.0</t>
  </si>
  <si>
    <t>Beverly</t>
  </si>
  <si>
    <t>2022/07/31</t>
  </si>
  <si>
    <t>13151.0</t>
  </si>
  <si>
    <t>2022-10-24</t>
  </si>
  <si>
    <t>10420.0</t>
  </si>
  <si>
    <t>2022-10-04</t>
  </si>
  <si>
    <t>Krista</t>
  </si>
  <si>
    <t>02-29-2024</t>
  </si>
  <si>
    <t>914.0</t>
  </si>
  <si>
    <t>Stacey</t>
  </si>
  <si>
    <t>17686.0</t>
  </si>
  <si>
    <t>Emily</t>
  </si>
  <si>
    <t>08/05/2024</t>
  </si>
  <si>
    <t>6981.0</t>
  </si>
  <si>
    <t>10-05-2022</t>
  </si>
  <si>
    <t>18510.0</t>
  </si>
  <si>
    <t>Jake</t>
  </si>
  <si>
    <t>2023/04/14</t>
  </si>
  <si>
    <t>6097.0</t>
  </si>
  <si>
    <t>Chad</t>
  </si>
  <si>
    <t>2025/05/04</t>
  </si>
  <si>
    <t>18088.0</t>
  </si>
  <si>
    <t>Ronald</t>
  </si>
  <si>
    <t>2022-06-10</t>
  </si>
  <si>
    <t>Stacy</t>
  </si>
  <si>
    <t>03-23-2025</t>
  </si>
  <si>
    <t>10689.0</t>
  </si>
  <si>
    <t>03-15-2025</t>
  </si>
  <si>
    <t>16739.0</t>
  </si>
  <si>
    <t>Martin</t>
  </si>
  <si>
    <t>2023-10-08</t>
  </si>
  <si>
    <t>4946.0</t>
  </si>
  <si>
    <t>Michele</t>
  </si>
  <si>
    <t>08-01-2024</t>
  </si>
  <si>
    <t>2639.0</t>
  </si>
  <si>
    <t>Leslie</t>
  </si>
  <si>
    <t>2025-03-04</t>
  </si>
  <si>
    <t>9680.0</t>
  </si>
  <si>
    <t>2025-05-17</t>
  </si>
  <si>
    <t>10557.0</t>
  </si>
  <si>
    <t>Bridget</t>
  </si>
  <si>
    <t>12/02/2023</t>
  </si>
  <si>
    <t>17780.0</t>
  </si>
  <si>
    <t>Tracey</t>
  </si>
  <si>
    <t>18/08/2023</t>
  </si>
  <si>
    <t>2991.0</t>
  </si>
  <si>
    <t>2024-02-01</t>
  </si>
  <si>
    <t>07-12-2024</t>
  </si>
  <si>
    <t>5434.0</t>
  </si>
  <si>
    <t>Christina</t>
  </si>
  <si>
    <t>05/08/2023</t>
  </si>
  <si>
    <t>8043.0</t>
  </si>
  <si>
    <t>2024-04-24</t>
  </si>
  <si>
    <t>8667.0</t>
  </si>
  <si>
    <t>Tiffany</t>
  </si>
  <si>
    <t>12-26-2023</t>
  </si>
  <si>
    <t>7661.0</t>
  </si>
  <si>
    <t>08-22-2024</t>
  </si>
  <si>
    <t>4721.0</t>
  </si>
  <si>
    <t>27/04/2023</t>
  </si>
  <si>
    <t>13316.0</t>
  </si>
  <si>
    <t>08/09/2023</t>
  </si>
  <si>
    <t>2022-06-17</t>
  </si>
  <si>
    <t>11123.0</t>
  </si>
  <si>
    <t>2023-01-19</t>
  </si>
  <si>
    <t>1861.0</t>
  </si>
  <si>
    <t>03/09/2022</t>
  </si>
  <si>
    <t>5722.0</t>
  </si>
  <si>
    <t>Kyle</t>
  </si>
  <si>
    <t>2025-03-28</t>
  </si>
  <si>
    <t>-8084.0</t>
  </si>
  <si>
    <t>Catherine</t>
  </si>
  <si>
    <t>10247.0</t>
  </si>
  <si>
    <t>08-14-2024</t>
  </si>
  <si>
    <t>13423.0</t>
  </si>
  <si>
    <t>09/03/2025</t>
  </si>
  <si>
    <t>19129.0</t>
  </si>
  <si>
    <t>Carl</t>
  </si>
  <si>
    <t>2025-02-20</t>
  </si>
  <si>
    <t>$11579.0</t>
  </si>
  <si>
    <t>Kelsey</t>
  </si>
  <si>
    <t>09/08/2022</t>
  </si>
  <si>
    <t>1642.0</t>
  </si>
  <si>
    <t>24/07/2023</t>
  </si>
  <si>
    <t>10309.0</t>
  </si>
  <si>
    <t>2024-02-28</t>
  </si>
  <si>
    <t>12398.0</t>
  </si>
  <si>
    <t>01-29-2025</t>
  </si>
  <si>
    <t>$4935.0</t>
  </si>
  <si>
    <t>04-07-2023</t>
  </si>
  <si>
    <t>2602.0</t>
  </si>
  <si>
    <t>Julie</t>
  </si>
  <si>
    <t>09/07/2024</t>
  </si>
  <si>
    <t>19119.0</t>
  </si>
  <si>
    <t>Alexa</t>
  </si>
  <si>
    <t>05-23-2024</t>
  </si>
  <si>
    <t>5129.0</t>
  </si>
  <si>
    <t>Natalie</t>
  </si>
  <si>
    <t>11-11-2024</t>
  </si>
  <si>
    <t>5813.0</t>
  </si>
  <si>
    <t>2022-08-13</t>
  </si>
  <si>
    <t>4712.0</t>
  </si>
  <si>
    <t>27/11/2022</t>
  </si>
  <si>
    <t>$927.0</t>
  </si>
  <si>
    <t>03-09-2024</t>
  </si>
  <si>
    <t>Kurt</t>
  </si>
  <si>
    <t>29/09/2023</t>
  </si>
  <si>
    <t>15283.0</t>
  </si>
  <si>
    <t>2023-02-06</t>
  </si>
  <si>
    <t>Kirsten</t>
  </si>
  <si>
    <t>2024-04-09</t>
  </si>
  <si>
    <t>8272.0</t>
  </si>
  <si>
    <t>2022-07-05</t>
  </si>
  <si>
    <t>-5420.0</t>
  </si>
  <si>
    <t>2025-04-08</t>
  </si>
  <si>
    <t>4829.0</t>
  </si>
  <si>
    <t>08-06-2022</t>
  </si>
  <si>
    <t>10641.0</t>
  </si>
  <si>
    <t>06-19-2024</t>
  </si>
  <si>
    <t>14652.0</t>
  </si>
  <si>
    <t>Tammy</t>
  </si>
  <si>
    <t>2024-06-27</t>
  </si>
  <si>
    <t>15624.0</t>
  </si>
  <si>
    <t>26/01/2023</t>
  </si>
  <si>
    <t>4271.0</t>
  </si>
  <si>
    <t>04-21-2025</t>
  </si>
  <si>
    <t>5669.0</t>
  </si>
  <si>
    <t>Wesley</t>
  </si>
  <si>
    <t>15/12/2023</t>
  </si>
  <si>
    <t>2319.0</t>
  </si>
  <si>
    <t>08-20-2024</t>
  </si>
  <si>
    <t>20/10/2022</t>
  </si>
  <si>
    <t>10635.0</t>
  </si>
  <si>
    <t>2022/07/14</t>
  </si>
  <si>
    <t>13803.0</t>
  </si>
  <si>
    <t>Kathryn</t>
  </si>
  <si>
    <t>2023-07-08</t>
  </si>
  <si>
    <t>7366.0</t>
  </si>
  <si>
    <t>Brian</t>
  </si>
  <si>
    <t>2023/06/23</t>
  </si>
  <si>
    <t>12334.0</t>
  </si>
  <si>
    <t>Blake</t>
  </si>
  <si>
    <t>19/02/2024</t>
  </si>
  <si>
    <t>7081.0</t>
  </si>
  <si>
    <t>5473.0</t>
  </si>
  <si>
    <t>2023-05-26</t>
  </si>
  <si>
    <t>484.0</t>
  </si>
  <si>
    <t>27/08/2023</t>
  </si>
  <si>
    <t>-15428.0</t>
  </si>
  <si>
    <t>Sherri</t>
  </si>
  <si>
    <t>2024-01-16</t>
  </si>
  <si>
    <t>15828.0</t>
  </si>
  <si>
    <t>2024-02-09</t>
  </si>
  <si>
    <t>3186.0</t>
  </si>
  <si>
    <t>11/02/2023</t>
  </si>
  <si>
    <t>12747.0</t>
  </si>
  <si>
    <t>2022-06-05</t>
  </si>
  <si>
    <t>14291.0</t>
  </si>
  <si>
    <t>02-21-2024</t>
  </si>
  <si>
    <t>5226.0</t>
  </si>
  <si>
    <t>26/07/2023</t>
  </si>
  <si>
    <t>-13216.0</t>
  </si>
  <si>
    <t>28/05/2023</t>
  </si>
  <si>
    <t>10260.0</t>
  </si>
  <si>
    <t>2025/04/10</t>
  </si>
  <si>
    <t>13943.0</t>
  </si>
  <si>
    <t>2022/10/15</t>
  </si>
  <si>
    <t>17468.0</t>
  </si>
  <si>
    <t>Cindy</t>
  </si>
  <si>
    <t>2023-04-01</t>
  </si>
  <si>
    <t>14017.0</t>
  </si>
  <si>
    <t>2024/04/27</t>
  </si>
  <si>
    <t>17084.0</t>
  </si>
  <si>
    <t>2022/08/08</t>
  </si>
  <si>
    <t>14694.0</t>
  </si>
  <si>
    <t>Morgan</t>
  </si>
  <si>
    <t>23/11/2022</t>
  </si>
  <si>
    <t>3630.0</t>
  </si>
  <si>
    <t>15/10/2022</t>
  </si>
  <si>
    <t>$1352.0</t>
  </si>
  <si>
    <t>2023/10/24</t>
  </si>
  <si>
    <t>10553.0</t>
  </si>
  <si>
    <t>Edwin</t>
  </si>
  <si>
    <t>22/12/2022</t>
  </si>
  <si>
    <t>7247.0</t>
  </si>
  <si>
    <t>Lucas</t>
  </si>
  <si>
    <t>2025/01/16</t>
  </si>
  <si>
    <t>17547.0</t>
  </si>
  <si>
    <t>Brenda</t>
  </si>
  <si>
    <t>2024/06/01</t>
  </si>
  <si>
    <t>11814.0</t>
  </si>
  <si>
    <t>2024-04-20</t>
  </si>
  <si>
    <t>4773.0</t>
  </si>
  <si>
    <t>07-12-2023</t>
  </si>
  <si>
    <t>5442.0</t>
  </si>
  <si>
    <t>02-15-2023</t>
  </si>
  <si>
    <t>5224.0</t>
  </si>
  <si>
    <t>2022/08/15</t>
  </si>
  <si>
    <t>19362.0</t>
  </si>
  <si>
    <t>2023-01-23</t>
  </si>
  <si>
    <t>6901.0</t>
  </si>
  <si>
    <t>Elaine</t>
  </si>
  <si>
    <t>01-14-2023</t>
  </si>
  <si>
    <t>6459.0</t>
  </si>
  <si>
    <t>8117.0</t>
  </si>
  <si>
    <t>19/02/2025</t>
  </si>
  <si>
    <t>10889.0</t>
  </si>
  <si>
    <t>Brittany</t>
  </si>
  <si>
    <t>24/01/2025</t>
  </si>
  <si>
    <t>2006.0</t>
  </si>
  <si>
    <t>Tony</t>
  </si>
  <si>
    <t>2023/04/06</t>
  </si>
  <si>
    <t>19858.0</t>
  </si>
  <si>
    <t>03-08-2023</t>
  </si>
  <si>
    <t>19077.0</t>
  </si>
  <si>
    <t>03-11-2023</t>
  </si>
  <si>
    <t>9437.0</t>
  </si>
  <si>
    <t>2024-05-28</t>
  </si>
  <si>
    <t>11402.0</t>
  </si>
  <si>
    <t>2022/06/10</t>
  </si>
  <si>
    <t>-17561.0</t>
  </si>
  <si>
    <t>09-22-2024</t>
  </si>
  <si>
    <t>504.0</t>
  </si>
  <si>
    <t>Samuel</t>
  </si>
  <si>
    <t>21/06/2022</t>
  </si>
  <si>
    <t>01/10/2023</t>
  </si>
  <si>
    <t>10654.0</t>
  </si>
  <si>
    <t>Adrian</t>
  </si>
  <si>
    <t>2023/12/31</t>
  </si>
  <si>
    <t>11570.0</t>
  </si>
  <si>
    <t>2023-12-20</t>
  </si>
  <si>
    <t>7156.0</t>
  </si>
  <si>
    <t>06/09/2023</t>
  </si>
  <si>
    <t>9546.0</t>
  </si>
  <si>
    <t>Tracy</t>
  </si>
  <si>
    <t>2023-07-15</t>
  </si>
  <si>
    <t>6909.0</t>
  </si>
  <si>
    <t>09/10/2023</t>
  </si>
  <si>
    <t>13684.0</t>
  </si>
  <si>
    <t>11-27-2022</t>
  </si>
  <si>
    <t>18877.0</t>
  </si>
  <si>
    <t>Anna</t>
  </si>
  <si>
    <t>04/08/2024</t>
  </si>
  <si>
    <t>16716.0</t>
  </si>
  <si>
    <t>2024/12/11</t>
  </si>
  <si>
    <t>-6630.0</t>
  </si>
  <si>
    <t>09-22-2022</t>
  </si>
  <si>
    <t>12143.0</t>
  </si>
  <si>
    <t>9284.0</t>
  </si>
  <si>
    <t>08-30-2024</t>
  </si>
  <si>
    <t>3590.0</t>
  </si>
  <si>
    <t>2024-03-09</t>
  </si>
  <si>
    <t>1719.0</t>
  </si>
  <si>
    <t>05-24-2023</t>
  </si>
  <si>
    <t>11346.0</t>
  </si>
  <si>
    <t>2022-08-11</t>
  </si>
  <si>
    <t>4848.0</t>
  </si>
  <si>
    <t>2024-06-04</t>
  </si>
  <si>
    <t>2543.0</t>
  </si>
  <si>
    <t>Zachary</t>
  </si>
  <si>
    <t>20/06/2023</t>
  </si>
  <si>
    <t>$2148.0</t>
  </si>
  <si>
    <t>Barbara</t>
  </si>
  <si>
    <t>2023-04-26</t>
  </si>
  <si>
    <t>$9410.0</t>
  </si>
  <si>
    <t>2022-12-19</t>
  </si>
  <si>
    <t>14488.0</t>
  </si>
  <si>
    <t>2025-01-23</t>
  </si>
  <si>
    <t>17437.0</t>
  </si>
  <si>
    <t>30/08/2023</t>
  </si>
  <si>
    <t>6333.0</t>
  </si>
  <si>
    <t>8759.0</t>
  </si>
  <si>
    <t>31/05/2022</t>
  </si>
  <si>
    <t>9676.0</t>
  </si>
  <si>
    <t>Jimmy</t>
  </si>
  <si>
    <t>2023/05/20</t>
  </si>
  <si>
    <t>19266.0</t>
  </si>
  <si>
    <t>2023-12-29</t>
  </si>
  <si>
    <t>2008.0</t>
  </si>
  <si>
    <t>01-01-2023</t>
  </si>
  <si>
    <t>8680.0</t>
  </si>
  <si>
    <t>16/01/2025</t>
  </si>
  <si>
    <t>217.0</t>
  </si>
  <si>
    <t>25/02/2023</t>
  </si>
  <si>
    <t>-3430.0</t>
  </si>
  <si>
    <t>2022/07/15</t>
  </si>
  <si>
    <t>11257.0</t>
  </si>
  <si>
    <t>30/11/2022</t>
  </si>
  <si>
    <t>4992.0</t>
  </si>
  <si>
    <t>2022/08/09</t>
  </si>
  <si>
    <t>31/01/2025</t>
  </si>
  <si>
    <t>15881.0</t>
  </si>
  <si>
    <t>18/09/2024</t>
  </si>
  <si>
    <t>14530.0</t>
  </si>
  <si>
    <t>Pregunta</t>
  </si>
  <si>
    <t>¿Cuántas filas duplicadas tenía el dataset crudo y cuántas quedaron después de limpiar?</t>
  </si>
  <si>
    <t>¿Cuál es el monto total de compras (Purchase_Amount) ya limpio?</t>
  </si>
  <si>
    <t>¿Cuántos clientes son de cada país?</t>
  </si>
  <si>
    <t>¿Cuál es el monto promedio de compra por país?</t>
  </si>
  <si>
    <t>¿Cuál es la categoría de producto con mayor monto total comprado?</t>
  </si>
  <si>
    <t>¿Cuál es la calificación (Rating) promedio por categoría de producto?</t>
  </si>
  <si>
    <t>¿Cuántos clientes son hombres y cuántos mujeres?</t>
  </si>
  <si>
    <t>¿Cuál es la edad promedio de los clientes que compraron Electronics?</t>
  </si>
  <si>
    <t>¿Qué país generó más ingresos en total?</t>
  </si>
  <si>
    <t>Busca el monto de compra y categoría del cliente con ID = 250</t>
  </si>
  <si>
    <t>Conclusiones</t>
  </si>
  <si>
    <t>Total general</t>
  </si>
  <si>
    <t>Suma de Purchase_Amount</t>
  </si>
  <si>
    <t>Promedio de Purchase_Amount</t>
  </si>
  <si>
    <t>Sri Lanka: $10.239,39
Afghanistan: $10.194,42
Pakistan: $10.133,48
India: $9.702,71
Nepal: $9.673,68
Bangladesh: 9.361,83</t>
  </si>
  <si>
    <t>Clothing: $955.529</t>
  </si>
  <si>
    <t>Promedio de Rating</t>
  </si>
  <si>
    <t>Furniture: 3,21
Books: 3,07
Toys: 2,93
Grocery: 2,92
Clothing: 2,84
Electronics: 2,80</t>
  </si>
  <si>
    <t>Male: 242
Female: 242</t>
  </si>
  <si>
    <t>Pakistan: $901.880</t>
  </si>
  <si>
    <t>Cantidad clientes</t>
  </si>
  <si>
    <t>Cuenta de Gender</t>
  </si>
  <si>
    <t>15 filas duplicadas antes de limpieza
Quedaron 484 filas finales</t>
  </si>
  <si>
    <t>Cantidad de clientes por país</t>
  </si>
  <si>
    <t>Promedio de compra por país</t>
  </si>
  <si>
    <t>Categoría con mayor monto comprado</t>
  </si>
  <si>
    <t>Promedio Rating categoría de producto</t>
  </si>
  <si>
    <t>Cantidad de hombres y mujeres</t>
  </si>
  <si>
    <t>Etiquetas de fila</t>
  </si>
  <si>
    <t>2022</t>
  </si>
  <si>
    <t>2023</t>
  </si>
  <si>
    <t>2024</t>
  </si>
  <si>
    <t>2025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</si>
  <si>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</si>
  <si>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</si>
  <si>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</si>
  <si>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</si>
  <si>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</si>
  <si>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</si>
  <si>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</si>
  <si>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</si>
  <si>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</si>
  <si>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</si>
  <si>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</si>
  <si>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</si>
  <si>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Evolución de compras mensuales (2022-2025)</t>
  </si>
  <si>
    <t>Monto total de compras por país</t>
  </si>
  <si>
    <t>Sobre este Análisis</t>
  </si>
  <si>
    <t>Analicé un dataset de 515 clientes de una tienda online que opera en el sur de Asia (Afganistán, Bangladesh, India, Nepal, Pakistán y Sri Lanka), con el objetivo de identificar patrones de compra por país, categoría de producto y periodo de tiempo, y proponer recomendaciones de negocio basadas en los hallazgos.</t>
  </si>
  <si>
    <t>Proceso</t>
  </si>
  <si>
    <t>Estructura del archivo</t>
  </si>
  <si>
    <r>
      <t>1. Diagnóstico de calidad de datos:</t>
    </r>
    <r>
      <rPr>
        <sz val="12"/>
        <color theme="1"/>
        <rFont val="Calibri"/>
        <family val="2"/>
        <charset val="1"/>
      </rPr>
      <t xml:space="preserve"> identifiqué duplicados, valores vacíos, inconsistencias de formato de texto y fechas mezcladas en distintos formatos regionales.</t>
    </r>
  </si>
  <si>
    <r>
      <t>2. Limpieza de datos con Power Query:</t>
    </r>
    <r>
      <rPr>
        <sz val="12"/>
        <color theme="1"/>
        <rFont val="Calibri"/>
        <family val="2"/>
        <charset val="1"/>
      </rPr>
      <t xml:space="preserve"> eliminé duplicados, unifiqué texto y fechas (incluyendo la resolución de ambigüedades entre formatos día/mes/año), y traté valores negativos y vacíos según el contexto de cada columna.</t>
    </r>
  </si>
  <si>
    <r>
      <t>3. Análisis con fórmulas y tablas dinámicas:</t>
    </r>
    <r>
      <rPr>
        <sz val="12"/>
        <color theme="1"/>
        <rFont val="Calibri"/>
        <family val="2"/>
        <charset val="1"/>
      </rPr>
      <t xml:space="preserve"> respondí 10 preguntas de negocio sobre compras, clientes y satisfacción.</t>
    </r>
  </si>
  <si>
    <r>
      <t>4. Dashboard:</t>
    </r>
    <r>
      <rPr>
        <sz val="12"/>
        <color theme="1"/>
        <rFont val="Calibri"/>
        <family val="2"/>
        <charset val="1"/>
      </rPr>
      <t xml:space="preserve"> construí un panel visual con gráficos de barras, líneas y pastel, además de una versión interactiva con filtros (segmentación de datos) y tarjetas de KPI dinámicas.</t>
    </r>
  </si>
  <si>
    <r>
      <t>5. Conclusiones:</t>
    </r>
    <r>
      <rPr>
        <sz val="12"/>
        <color theme="1"/>
        <rFont val="Calibri"/>
        <family val="2"/>
        <charset val="1"/>
      </rPr>
      <t xml:space="preserve"> cerré el análisis con hallazgos clave y una recomendación de negocio.</t>
    </r>
  </si>
  <si>
    <r>
      <t>Herramientas usadas:</t>
    </r>
    <r>
      <rPr>
        <sz val="12"/>
        <color theme="1"/>
        <rFont val="Calibri"/>
        <family val="2"/>
        <charset val="1"/>
      </rPr>
      <t xml:space="preserve"> Excel (fórmulas, tablas dinámicas, gráficos, formato condicional) y Power Query.</t>
    </r>
  </si>
  <si>
    <r>
      <t>Datos_Limpios</t>
    </r>
    <r>
      <rPr>
        <sz val="12"/>
        <color theme="1"/>
        <rFont val="Calibri"/>
        <family val="2"/>
        <charset val="1"/>
      </rPr>
      <t xml:space="preserve"> — dataset final, sin errores</t>
    </r>
  </si>
  <si>
    <r>
      <t>Preguntas</t>
    </r>
    <r>
      <rPr>
        <sz val="12"/>
        <color theme="1"/>
        <rFont val="Calibri"/>
        <family val="2"/>
        <charset val="1"/>
      </rPr>
      <t xml:space="preserve"> — 10 preguntas de negocio resueltas</t>
    </r>
  </si>
  <si>
    <r>
      <t>Evidencia Respuestas</t>
    </r>
    <r>
      <rPr>
        <sz val="12"/>
        <color theme="1"/>
        <rFont val="Calibri"/>
        <family val="2"/>
        <charset val="1"/>
      </rPr>
      <t xml:space="preserve"> — tablas dinámicas de respaldo</t>
    </r>
  </si>
  <si>
    <r>
      <t>Gráficos</t>
    </r>
    <r>
      <rPr>
        <sz val="12"/>
        <color theme="1"/>
        <rFont val="Calibri"/>
        <family val="2"/>
        <charset val="1"/>
      </rPr>
      <t xml:space="preserve"> — dashboard con 3 visualizaciones</t>
    </r>
  </si>
  <si>
    <r>
      <t>Dashboard</t>
    </r>
    <r>
      <rPr>
        <sz val="12"/>
        <color theme="1"/>
        <rFont val="Calibri"/>
        <family val="2"/>
        <charset val="1"/>
      </rPr>
      <t xml:space="preserve"> — versión interactiva con filtros y KPIs</t>
    </r>
  </si>
  <si>
    <r>
      <t>Conclusiones</t>
    </r>
    <r>
      <rPr>
        <sz val="12"/>
        <color theme="1"/>
        <rFont val="Calibri"/>
        <family val="2"/>
        <charset val="1"/>
      </rPr>
      <t xml:space="preserve"> — hallazgos</t>
    </r>
  </si>
  <si>
    <t>COLUMNA</t>
  </si>
  <si>
    <t>PROBLEMA ENCONTRADO</t>
  </si>
  <si>
    <t>ACCIÓN TOMADA</t>
  </si>
  <si>
    <t>12 valores vacíos</t>
  </si>
  <si>
    <t>Rellenados con la mediana</t>
  </si>
  <si>
    <t>Inconsistencias de mayúsculas/minúsculas y espacios</t>
  </si>
  <si>
    <t>Normalizado (Recortar + Mayúscula inicial)</t>
  </si>
  <si>
    <t>8 valores vacíos; inconsistencias de mayúsculas/minúsculas y espacios</t>
  </si>
  <si>
    <t>Vacíos eliminados; texto normalizado</t>
  </si>
  <si>
    <t>4 formatos de fecha distintos mezclados (separadores y orden día/mes/año)</t>
  </si>
  <si>
    <t>Unificado usando lógica de doble validación regional</t>
  </si>
  <si>
    <t>10 valores vacíos; algunos negativos</t>
  </si>
  <si>
    <t>Vacíos eliminados; negativos convertidos a valor absoluto</t>
  </si>
  <si>
    <t>Normalizado</t>
  </si>
  <si>
    <t>14 valores vacíos</t>
  </si>
  <si>
    <t>15 filas completas duplicadas</t>
  </si>
  <si>
    <t>Eliminadas</t>
  </si>
  <si>
    <t>Pakistan: 89
Sri Lanka: 85
Bangladesh: 84
Afghanistan: 76
Nepal: 75
India: 75</t>
  </si>
  <si>
    <t>Respuesta / Fórmula</t>
  </si>
  <si>
    <t>Preguntas de negocio y hallazgos</t>
  </si>
  <si>
    <t>1. Con 484 clientes válidos tras la limpieza, se registraron $4.786.627 en compras totales.</t>
  </si>
  <si>
    <t>2. Pakistán lidera tanto en cantidad de clientes (89) como en monto total de compras ($901,880) — es el mercado más fuerte.</t>
  </si>
  <si>
    <t>3. Clothing es la categoría con mayor monto de compras ($955,529), pero presenta una paradoja: tiene uno de los ratings promedio más bajos (2.84). Furniture, en cambio, tiene el mejor rating (3.21) pese a tener un menor monto de compras.</t>
  </si>
  <si>
    <t>4. 2023 y 2024 fueron los años con mayor monto de compras (~$1.5M cada uno); 2025 muestra cifras menores, pero esto es engañoso, ya que los datos de ese año solo cubren hasta mayo.</t>
  </si>
  <si>
    <t>5. La distribución de clientes por género es exactamente equilibrada (242 hombres, 242 mujeres) — no hay sesgo de género en la base de clientes.</t>
  </si>
  <si>
    <r>
      <t xml:space="preserve">Datos Crudos: </t>
    </r>
    <r>
      <rPr>
        <sz val="12"/>
        <color theme="1"/>
        <rFont val="Calibri"/>
        <family val="2"/>
      </rPr>
      <t>dataset original, sin procesar</t>
    </r>
  </si>
  <si>
    <r>
      <rPr>
        <b/>
        <sz val="11"/>
        <color theme="1"/>
        <rFont val="Calibri"/>
        <family val="2"/>
      </rPr>
      <t>Data Profiling</t>
    </r>
    <r>
      <rPr>
        <sz val="11"/>
        <color theme="1"/>
        <rFont val="Calibri"/>
        <family val="2"/>
        <charset val="1"/>
      </rPr>
      <t xml:space="preserve"> — diagnóstico de calidad de datos por columna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</si>
</sst>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"/>
    <numFmt numFmtId="165" formatCode="&quot;$&quot;\ #,##0.00"/>
  </numFmts>
  <fonts count="19" x14ac:knownFonts="1">
    <font>
      <sz val="11"/>
      <color theme="1"/>
      <name val="Calibri"/>
      <family val="2"/>
      <charset val="1"/>
    </font>
    <font>
      <b/>
      <sz val="16"/>
      <color rgb="FF1F4E78"/>
      <name val="Arial"/>
      <family val="2"/>
    </font>
    <font>
      <i/>
      <sz val="11"/>
      <color rgb="FF595959"/>
      <name val="Arial"/>
      <family val="2"/>
    </font>
    <font>
      <sz val="10.5"/>
      <name val="Arial"/>
      <family val="2"/>
    </font>
    <font>
      <b/>
      <sz val="10.5"/>
      <color rgb="FFFFFFFF"/>
      <name val="Arial"/>
      <family val="2"/>
    </font>
    <font>
      <i/>
      <sz val="9.5"/>
      <color rgb="FF833C0C"/>
      <name val="Arial"/>
      <family val="2"/>
    </font>
    <font>
      <i/>
      <sz val="9"/>
      <color rgb="FF7F7F7F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  <charset val="1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color theme="1" tint="0.249977111117893"/>
      <name val="Calibri"/>
      <family val="2"/>
      <charset val="1"/>
    </font>
    <font>
      <b/>
      <sz val="11"/>
      <color theme="0"/>
      <name val="Calibri"/>
      <family val="2"/>
    </font>
    <font>
      <b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4"/>
      <color theme="1"/>
      <name val="Calibri"/>
      <family val="2"/>
    </font>
    <font>
      <b/>
      <sz val="14"/>
      <color theme="1"/>
      <name val="Calibri"/>
      <family val="2"/>
      <charset val="1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833C0C"/>
        <bgColor rgb="FF993366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FFFFCC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0.34998626667073579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5" fillId="0" borderId="0" xfId="0" applyFont="1" applyBorder="1" applyAlignment="1">
      <alignment wrapText="1"/>
    </xf>
    <xf numFmtId="0" fontId="4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vertical="top" wrapText="1"/>
    </xf>
    <xf numFmtId="0" fontId="0" fillId="4" borderId="1" xfId="0" applyFill="1" applyBorder="1"/>
    <xf numFmtId="0" fontId="8" fillId="0" borderId="0" xfId="0" applyFont="1"/>
    <xf numFmtId="0" fontId="3" fillId="0" borderId="2" xfId="0" applyFont="1" applyBorder="1"/>
    <xf numFmtId="0" fontId="3" fillId="0" borderId="3" xfId="0" applyFont="1" applyBorder="1"/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0" fillId="0" borderId="0" xfId="0" applyNumberFormat="1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4" fontId="0" fillId="4" borderId="1" xfId="0" applyNumberForma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4" borderId="1" xfId="0" applyFill="1" applyBorder="1" applyAlignment="1">
      <alignment wrapText="1"/>
    </xf>
    <xf numFmtId="0" fontId="3" fillId="0" borderId="1" xfId="0" applyFont="1" applyBorder="1" applyAlignment="1">
      <alignment horizontal="left" vertical="center" wrapText="1"/>
    </xf>
    <xf numFmtId="165" fontId="0" fillId="0" borderId="0" xfId="0" applyNumberFormat="1"/>
    <xf numFmtId="2" fontId="0" fillId="0" borderId="0" xfId="0" applyNumberFormat="1"/>
    <xf numFmtId="164" fontId="0" fillId="4" borderId="1" xfId="0" applyNumberFormat="1" applyFill="1" applyBorder="1" applyAlignment="1">
      <alignment wrapText="1"/>
    </xf>
    <xf numFmtId="1" fontId="0" fillId="4" borderId="1" xfId="0" applyNumberFormat="1" applyFill="1" applyBorder="1" applyAlignment="1">
      <alignment wrapText="1"/>
    </xf>
    <xf numFmtId="0" fontId="10" fillId="0" borderId="0" xfId="0" applyFont="1"/>
    <xf numFmtId="0" fontId="0" fillId="0" borderId="0" xfId="0" applyAlignment="1">
      <alignment horizontal="left" indent="1"/>
    </xf>
    <xf numFmtId="0" fontId="11" fillId="6" borderId="0" xfId="0" applyFont="1" applyFill="1"/>
    <xf numFmtId="0" fontId="11" fillId="6" borderId="0" xfId="0" applyFont="1" applyFill="1" applyBorder="1"/>
    <xf numFmtId="0" fontId="12" fillId="6" borderId="0" xfId="0" applyFont="1" applyFill="1" applyBorder="1" applyAlignment="1">
      <alignment horizontal="center" vertical="center"/>
    </xf>
    <xf numFmtId="0" fontId="11" fillId="6" borderId="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 vertical="center"/>
    </xf>
    <xf numFmtId="0" fontId="13" fillId="0" borderId="0" xfId="0" applyFont="1"/>
    <xf numFmtId="0" fontId="14" fillId="0" borderId="0" xfId="0" applyFont="1" applyAlignment="1">
      <alignment vertical="top"/>
    </xf>
    <xf numFmtId="0" fontId="14" fillId="0" borderId="0" xfId="0" applyFont="1"/>
    <xf numFmtId="0" fontId="14" fillId="0" borderId="0" xfId="0" applyFont="1" applyAlignment="1">
      <alignment horizontal="left" vertical="center" indent="1"/>
    </xf>
    <xf numFmtId="0" fontId="13" fillId="0" borderId="0" xfId="0" applyFont="1" applyAlignment="1">
      <alignment horizontal="left" vertical="center" indent="1"/>
    </xf>
    <xf numFmtId="0" fontId="7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0" fontId="15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15" fillId="0" borderId="10" xfId="0" applyFont="1" applyBorder="1" applyAlignment="1">
      <alignment vertical="center" wrapText="1"/>
    </xf>
    <xf numFmtId="0" fontId="14" fillId="0" borderId="0" xfId="0" applyFont="1" applyAlignment="1">
      <alignment horizontal="left" vertical="top" wrapText="1"/>
    </xf>
    <xf numFmtId="0" fontId="16" fillId="0" borderId="0" xfId="0" applyFont="1"/>
    <xf numFmtId="0" fontId="3" fillId="4" borderId="1" xfId="0" applyFont="1" applyFill="1" applyBorder="1" applyAlignment="1">
      <alignment horizontal="left" vertical="center" wrapText="1"/>
    </xf>
    <xf numFmtId="0" fontId="17" fillId="0" borderId="0" xfId="0" applyFont="1" applyAlignment="1">
      <alignment horizontal="left" vertical="center" indent="1"/>
    </xf>
    <xf numFmtId="0" fontId="9" fillId="0" borderId="0" xfId="0" applyFont="1"/>
    <xf numFmtId="0" fontId="6" fillId="0" borderId="0" xfId="0" applyFont="1" applyBorder="1"/>
    <xf numFmtId="0" fontId="9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27">
    <dxf>
      <numFmt numFmtId="164" formatCode="&quot;$&quot;\ #,##0"/>
    </dxf>
    <dxf>
      <numFmt numFmtId="2" formatCode="0.00"/>
    </dxf>
    <dxf>
      <numFmt numFmtId="164" formatCode="&quot;$&quot;\ #,##0"/>
    </dxf>
    <dxf>
      <numFmt numFmtId="165" formatCode="&quot;$&quot;\ #,##0.00"/>
    </dxf>
    <dxf>
      <numFmt numFmtId="164" formatCode="&quot;$&quot;\ #,##0"/>
    </dxf>
    <dxf>
      <numFmt numFmtId="0" formatCode="General"/>
    </dxf>
    <dxf>
      <numFmt numFmtId="164" formatCode="&quot;$&quot;\ #,##0"/>
    </dxf>
    <dxf>
      <numFmt numFmtId="19" formatCode="d/mm/yyyy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auto="1"/>
        <name val="Arial"/>
        <family val="2"/>
        <scheme val="none"/>
      </font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auto="1"/>
        <name val="Arial"/>
        <family val="2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auto="1"/>
        <name val="Arial"/>
        <family val="2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auto="1"/>
        <name val="Arial"/>
        <family val="2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auto="1"/>
        <name val="Arial"/>
        <family val="2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auto="1"/>
        <name val="Arial"/>
        <family val="2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auto="1"/>
        <name val="Arial"/>
        <family val="2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auto="1"/>
        <name val="Arial"/>
        <family val="2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auto="1"/>
        <name val="Arial"/>
        <family val="2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auto="1"/>
        <name val="Arial"/>
        <family val="2"/>
        <scheme val="none"/>
      </font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rgb="FFFFFFFF"/>
        <name val="Arial"/>
        <family val="2"/>
        <scheme val="none"/>
      </font>
      <fill>
        <patternFill patternType="solid">
          <fgColor rgb="FF993366"/>
          <bgColor rgb="FF833C0C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833C0C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[Análisis_de_Datos_con_Excel.xlsx]Evidencia Respuestas!6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Monto total de compras por país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F81BD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'Evidencia Respuestas'!$E$15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4F81BD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'Evidencia Respuestas'!$D$16:$D$22</c:f>
              <c:strCache>
                <c:ptCount val="6"/>
                <c:pt idx="0">
                  <c:v>Afghanistan</c:v>
                </c:pt>
                <c:pt idx="1">
                  <c:v>Bangladesh</c:v>
                </c:pt>
                <c:pt idx="2">
                  <c:v>India</c:v>
                </c:pt>
                <c:pt idx="3">
                  <c:v>Nepal</c:v>
                </c:pt>
                <c:pt idx="4">
                  <c:v>Pakistan</c:v>
                </c:pt>
                <c:pt idx="5">
                  <c:v>Sri Lanka</c:v>
                </c:pt>
              </c:strCache>
            </c:strRef>
          </c:cat>
          <c:val>
            <c:numRef>
              <c:f>'Evidencia Respuestas'!$E$16:$E$22</c:f>
              <c:numCache>
                <c:formatCode>"$"\ #,##0</c:formatCode>
                <c:ptCount val="6"/>
                <c:pt idx="0">
                  <c:v>774776</c:v>
                </c:pt>
                <c:pt idx="1">
                  <c:v>786394</c:v>
                </c:pt>
                <c:pt idx="2">
                  <c:v>727703</c:v>
                </c:pt>
                <c:pt idx="3">
                  <c:v>725526</c:v>
                </c:pt>
                <c:pt idx="4">
                  <c:v>901880</c:v>
                </c:pt>
                <c:pt idx="5">
                  <c:v>870348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5C-46F1-ADFE-368346BA66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203046639"/>
        <c:axId val="318295983"/>
      </c:barChart>
      <c:catAx>
        <c:axId val="203046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18295983"/>
        <c:crosses val="autoZero"/>
        <c:auto val="1"/>
        <c:lblAlgn val="ctr"/>
        <c:lblOffset val="100"/>
        <c:noMultiLvlLbl val="0"/>
      </c:catAx>
      <c:valAx>
        <c:axId val="31829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30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Compras totales por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7"/>
              <c:pt idx="0">
                <c:v>2022 may</c:v>
              </c:pt>
              <c:pt idx="1">
                <c:v>2022 jun</c:v>
              </c:pt>
              <c:pt idx="2">
                <c:v>2022 jul</c:v>
              </c:pt>
              <c:pt idx="3">
                <c:v>2022 ago</c:v>
              </c:pt>
              <c:pt idx="4">
                <c:v>2022 sep</c:v>
              </c:pt>
              <c:pt idx="5">
                <c:v>2022 oct</c:v>
              </c:pt>
              <c:pt idx="6">
                <c:v>2022 nov</c:v>
              </c:pt>
              <c:pt idx="7">
                <c:v>2022 dic</c:v>
              </c:pt>
              <c:pt idx="8">
                <c:v>2023 ene</c:v>
              </c:pt>
              <c:pt idx="9">
                <c:v>2023 feb</c:v>
              </c:pt>
              <c:pt idx="10">
                <c:v>2023 mar</c:v>
              </c:pt>
              <c:pt idx="11">
                <c:v>2023 abr</c:v>
              </c:pt>
              <c:pt idx="12">
                <c:v>2023 may</c:v>
              </c:pt>
              <c:pt idx="13">
                <c:v>2023 jun</c:v>
              </c:pt>
              <c:pt idx="14">
                <c:v>2023 jul</c:v>
              </c:pt>
              <c:pt idx="15">
                <c:v>2023 ago</c:v>
              </c:pt>
              <c:pt idx="16">
                <c:v>2023 sep</c:v>
              </c:pt>
              <c:pt idx="17">
                <c:v>2023 oct</c:v>
              </c:pt>
              <c:pt idx="18">
                <c:v>2023 nov</c:v>
              </c:pt>
              <c:pt idx="19">
                <c:v>2023 dic</c:v>
              </c:pt>
              <c:pt idx="20">
                <c:v>2024 ene</c:v>
              </c:pt>
              <c:pt idx="21">
                <c:v>2024 feb</c:v>
              </c:pt>
              <c:pt idx="22">
                <c:v>2024 mar</c:v>
              </c:pt>
              <c:pt idx="23">
                <c:v>2024 abr</c:v>
              </c:pt>
              <c:pt idx="24">
                <c:v>2024 may</c:v>
              </c:pt>
              <c:pt idx="25">
                <c:v>2024 jun</c:v>
              </c:pt>
              <c:pt idx="26">
                <c:v>2024 jul</c:v>
              </c:pt>
              <c:pt idx="27">
                <c:v>2024 ago</c:v>
              </c:pt>
              <c:pt idx="28">
                <c:v>2024 sep</c:v>
              </c:pt>
              <c:pt idx="29">
                <c:v>2024 oct</c:v>
              </c:pt>
              <c:pt idx="30">
                <c:v>2024 nov</c:v>
              </c:pt>
              <c:pt idx="31">
                <c:v>2024 dic</c:v>
              </c:pt>
              <c:pt idx="32">
                <c:v>2025 ene</c:v>
              </c:pt>
              <c:pt idx="33">
                <c:v>2025 feb</c:v>
              </c:pt>
              <c:pt idx="34">
                <c:v>2025 mar</c:v>
              </c:pt>
              <c:pt idx="35">
                <c:v>2025 abr</c:v>
              </c:pt>
              <c:pt idx="36">
                <c:v>2025 may</c:v>
              </c:pt>
            </c:strLit>
          </c:cat>
          <c:val>
            <c:numLit>
              <c:formatCode>General</c:formatCode>
              <c:ptCount val="37"/>
              <c:pt idx="0">
                <c:v>58409</c:v>
              </c:pt>
              <c:pt idx="1">
                <c:v>136181</c:v>
              </c:pt>
              <c:pt idx="2">
                <c:v>162399</c:v>
              </c:pt>
              <c:pt idx="3">
                <c:v>221028</c:v>
              </c:pt>
              <c:pt idx="4">
                <c:v>103264</c:v>
              </c:pt>
              <c:pt idx="5">
                <c:v>119071</c:v>
              </c:pt>
              <c:pt idx="6">
                <c:v>228794</c:v>
              </c:pt>
              <c:pt idx="7">
                <c:v>95775</c:v>
              </c:pt>
              <c:pt idx="8">
                <c:v>167196</c:v>
              </c:pt>
              <c:pt idx="9">
                <c:v>93298</c:v>
              </c:pt>
              <c:pt idx="10">
                <c:v>114123</c:v>
              </c:pt>
              <c:pt idx="11">
                <c:v>140912</c:v>
              </c:pt>
              <c:pt idx="12">
                <c:v>109714</c:v>
              </c:pt>
              <c:pt idx="13">
                <c:v>100646</c:v>
              </c:pt>
              <c:pt idx="14">
                <c:v>121438</c:v>
              </c:pt>
              <c:pt idx="15">
                <c:v>165309</c:v>
              </c:pt>
              <c:pt idx="16">
                <c:v>117942</c:v>
              </c:pt>
              <c:pt idx="17">
                <c:v>147154</c:v>
              </c:pt>
              <c:pt idx="18">
                <c:v>136068</c:v>
              </c:pt>
              <c:pt idx="19">
                <c:v>111485</c:v>
              </c:pt>
              <c:pt idx="20">
                <c:v>108636</c:v>
              </c:pt>
              <c:pt idx="21">
                <c:v>165667</c:v>
              </c:pt>
              <c:pt idx="22">
                <c:v>154856</c:v>
              </c:pt>
              <c:pt idx="23">
                <c:v>130052</c:v>
              </c:pt>
              <c:pt idx="24">
                <c:v>85570</c:v>
              </c:pt>
              <c:pt idx="25">
                <c:v>188033</c:v>
              </c:pt>
              <c:pt idx="26">
                <c:v>174290</c:v>
              </c:pt>
              <c:pt idx="27">
                <c:v>146085</c:v>
              </c:pt>
              <c:pt idx="28">
                <c:v>89291</c:v>
              </c:pt>
              <c:pt idx="29">
                <c:v>79985</c:v>
              </c:pt>
              <c:pt idx="30">
                <c:v>83427</c:v>
              </c:pt>
              <c:pt idx="31">
                <c:v>112986</c:v>
              </c:pt>
              <c:pt idx="32">
                <c:v>176692</c:v>
              </c:pt>
              <c:pt idx="33">
                <c:v>103366</c:v>
              </c:pt>
              <c:pt idx="34">
                <c:v>110988</c:v>
              </c:pt>
              <c:pt idx="35">
                <c:v>146527</c:v>
              </c:pt>
              <c:pt idx="36">
                <c:v>79970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02F0-44E2-8BD5-D1CBD0E5B5D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3056239"/>
        <c:axId val="331748639"/>
      </c:lineChart>
      <c:catAx>
        <c:axId val="20305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31748639"/>
        <c:crosses val="autoZero"/>
        <c:auto val="1"/>
        <c:lblAlgn val="ctr"/>
        <c:lblOffset val="100"/>
        <c:noMultiLvlLbl val="0"/>
      </c:catAx>
      <c:valAx>
        <c:axId val="33174863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305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Monto total de compras por categoría de producto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1450317723850959"/>
          <c:y val="1.35096606900041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numFmt formatCode="&quot;$&quot;\ #,##0" sourceLinked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explosion val="15"/>
            <c:spPr>
              <a:gradFill>
                <a:gsLst>
                  <a:gs pos="0">
                    <a:schemeClr val="accent1">
                      <a:shade val="51000"/>
                    </a:schemeClr>
                  </a:gs>
                  <a:gs pos="80000">
                    <a:schemeClr val="accent1">
                      <a:shade val="93000"/>
                    </a:schemeClr>
                  </a:gs>
                  <a:gs pos="100000">
                    <a:schemeClr val="accent1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898-45A6-99B7-F06855AE66DD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shade val="51000"/>
                    </a:schemeClr>
                  </a:gs>
                  <a:gs pos="80000">
                    <a:schemeClr val="accent2">
                      <a:shade val="93000"/>
                    </a:schemeClr>
                  </a:gs>
                  <a:gs pos="100000">
                    <a:schemeClr val="accent2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898-45A6-99B7-F06855AE66DD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shade val="51000"/>
                    </a:schemeClr>
                  </a:gs>
                  <a:gs pos="80000">
                    <a:schemeClr val="accent3">
                      <a:shade val="93000"/>
                    </a:schemeClr>
                  </a:gs>
                  <a:gs pos="100000">
                    <a:schemeClr val="accent3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898-45A6-99B7-F06855AE66DD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shade val="51000"/>
                    </a:schemeClr>
                  </a:gs>
                  <a:gs pos="80000">
                    <a:schemeClr val="accent4">
                      <a:shade val="93000"/>
                    </a:schemeClr>
                  </a:gs>
                  <a:gs pos="100000">
                    <a:schemeClr val="accent4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898-45A6-99B7-F06855AE66DD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shade val="51000"/>
                    </a:schemeClr>
                  </a:gs>
                  <a:gs pos="80000">
                    <a:schemeClr val="accent5">
                      <a:shade val="93000"/>
                    </a:schemeClr>
                  </a:gs>
                  <a:gs pos="100000">
                    <a:schemeClr val="accent5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898-45A6-99B7-F06855AE66DD}"/>
              </c:ext>
            </c:extLst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shade val="51000"/>
                    </a:schemeClr>
                  </a:gs>
                  <a:gs pos="80000">
                    <a:schemeClr val="accent6">
                      <a:shade val="93000"/>
                    </a:schemeClr>
                  </a:gs>
                  <a:gs pos="100000">
                    <a:schemeClr val="accent6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898-45A6-99B7-F06855AE66DD}"/>
              </c:ext>
            </c:extLst>
          </c:dPt>
          <c:dLbls>
            <c:dLbl>
              <c:idx val="0"/>
              <c:layout>
                <c:manualLayout>
                  <c:x val="3.5180303905193729E-2"/>
                  <c:y val="-7.638888888888892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898-45A6-99B7-F06855AE66DD}"/>
                </c:ext>
              </c:extLst>
            </c:dLbl>
            <c:dLbl>
              <c:idx val="1"/>
              <c:layout>
                <c:manualLayout>
                  <c:x val="4.2216364686232549E-2"/>
                  <c:y val="-3.819444444444444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898-45A6-99B7-F06855AE66DD}"/>
                </c:ext>
              </c:extLst>
            </c:dLbl>
            <c:dLbl>
              <c:idx val="2"/>
              <c:layout>
                <c:manualLayout>
                  <c:x val="0.13192613964447664"/>
                  <c:y val="-2.7777777777777776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898-45A6-99B7-F06855AE66DD}"/>
                </c:ext>
              </c:extLst>
            </c:dLbl>
            <c:dLbl>
              <c:idx val="3"/>
              <c:layout>
                <c:manualLayout>
                  <c:x val="-4.7493410272011614E-2"/>
                  <c:y val="2.083333333333333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898-45A6-99B7-F06855AE66DD}"/>
                </c:ext>
              </c:extLst>
            </c:dLbl>
            <c:dLbl>
              <c:idx val="4"/>
              <c:layout>
                <c:manualLayout>
                  <c:x val="-4.5734395076751928E-2"/>
                  <c:y val="5.555555555555555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898-45A6-99B7-F06855AE66DD}"/>
                </c:ext>
              </c:extLst>
            </c:dLbl>
            <c:dLbl>
              <c:idx val="5"/>
              <c:layout>
                <c:manualLayout>
                  <c:x val="-4.5734395076751894E-2"/>
                  <c:y val="-4.513888888888892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898-45A6-99B7-F06855AE66DD}"/>
                </c:ext>
              </c:extLst>
            </c:dLbl>
            <c:numFmt formatCode="&quot;$&quot;\ #,##0" sourceLinked="0"/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6"/>
              <c:pt idx="0">
                <c:v>Clothing</c:v>
              </c:pt>
              <c:pt idx="1">
                <c:v>Furniture</c:v>
              </c:pt>
              <c:pt idx="2">
                <c:v>Books</c:v>
              </c:pt>
              <c:pt idx="3">
                <c:v>Toys</c:v>
              </c:pt>
              <c:pt idx="4">
                <c:v>Electronics</c:v>
              </c:pt>
              <c:pt idx="5">
                <c:v>Grocery</c:v>
              </c:pt>
            </c:strLit>
          </c:cat>
          <c:val>
            <c:numLit>
              <c:formatCode>General</c:formatCode>
              <c:ptCount val="6"/>
              <c:pt idx="0">
                <c:v>955529</c:v>
              </c:pt>
              <c:pt idx="1">
                <c:v>889121</c:v>
              </c:pt>
              <c:pt idx="2">
                <c:v>843339</c:v>
              </c:pt>
              <c:pt idx="3">
                <c:v>815076</c:v>
              </c:pt>
              <c:pt idx="4">
                <c:v>694460</c:v>
              </c:pt>
              <c:pt idx="5">
                <c:v>589102</c:v>
              </c:pt>
            </c:numLit>
          </c:val>
          <c:extLst>
            <c:ext xmlns:c16="http://schemas.microsoft.com/office/drawing/2014/chart" uri="{C3380CC4-5D6E-409C-BE32-E72D297353CC}">
              <c16:uniqueId val="{00000000-3898-45A6-99B7-F06855AE6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[Análisis_de_Datos_con_Excel.xlsx]Evidencia Respuestas!6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Monto total de compras por país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'Evidencia Respuestas'!$E$15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'Evidencia Respuestas'!$D$16:$D$22</c:f>
              <c:strCache>
                <c:ptCount val="6"/>
                <c:pt idx="0">
                  <c:v>Afghanistan</c:v>
                </c:pt>
                <c:pt idx="1">
                  <c:v>Bangladesh</c:v>
                </c:pt>
                <c:pt idx="2">
                  <c:v>India</c:v>
                </c:pt>
                <c:pt idx="3">
                  <c:v>Nepal</c:v>
                </c:pt>
                <c:pt idx="4">
                  <c:v>Pakistan</c:v>
                </c:pt>
                <c:pt idx="5">
                  <c:v>Sri Lanka</c:v>
                </c:pt>
              </c:strCache>
            </c:strRef>
          </c:cat>
          <c:val>
            <c:numRef>
              <c:f>'Evidencia Respuestas'!$E$16:$E$22</c:f>
              <c:numCache>
                <c:formatCode>"$"\ #,##0</c:formatCode>
                <c:ptCount val="6"/>
                <c:pt idx="0">
                  <c:v>774776</c:v>
                </c:pt>
                <c:pt idx="1">
                  <c:v>786394</c:v>
                </c:pt>
                <c:pt idx="2">
                  <c:v>727703</c:v>
                </c:pt>
                <c:pt idx="3">
                  <c:v>725526</c:v>
                </c:pt>
                <c:pt idx="4">
                  <c:v>901880</c:v>
                </c:pt>
                <c:pt idx="5">
                  <c:v>870348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88-4BFC-A4DB-F54C23C7A5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99098943"/>
        <c:axId val="1266590495"/>
      </c:barChart>
      <c:catAx>
        <c:axId val="1199098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6590495"/>
        <c:crosses val="autoZero"/>
        <c:auto val="1"/>
        <c:lblAlgn val="ctr"/>
        <c:lblOffset val="100"/>
        <c:noMultiLvlLbl val="0"/>
      </c:catAx>
      <c:valAx>
        <c:axId val="126659049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crossAx val="1199098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>
      <a:glow>
        <a:schemeClr val="accent1">
          <a:alpha val="16000"/>
        </a:schemeClr>
      </a:glow>
      <a:softEdge rad="0"/>
    </a:effectLst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[Análisis_de_Datos_con_Excel.xlsx]Evidencia Respuestas!3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Categoría con mayor monto comprado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B050"/>
          </a:solidFill>
          <a:ln>
            <a:noFill/>
          </a:ln>
          <a:effectLst/>
        </c:spPr>
      </c:pivotFmt>
      <c:pivotFmt>
        <c:idx val="10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</c:pivotFmt>
      <c:pivotFmt>
        <c:idx val="11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</c:pivotFmt>
      <c:pivotFmt>
        <c:idx val="12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</c:pivotFmt>
      <c:pivotFmt>
        <c:idx val="13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</c:pivotFmt>
      <c:pivotFmt>
        <c:idx val="14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'Evidencia Respuestas'!$H$3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plosion val="18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CDE-4EA4-85F5-0C77599704EA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shade val="51000"/>
                    </a:schemeClr>
                  </a:gs>
                  <a:gs pos="80000">
                    <a:schemeClr val="accent2">
                      <a:shade val="93000"/>
                    </a:schemeClr>
                  </a:gs>
                  <a:gs pos="100000">
                    <a:schemeClr val="accent2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CDE-4EA4-85F5-0C77599704EA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shade val="51000"/>
                    </a:schemeClr>
                  </a:gs>
                  <a:gs pos="80000">
                    <a:schemeClr val="accent3">
                      <a:shade val="93000"/>
                    </a:schemeClr>
                  </a:gs>
                  <a:gs pos="100000">
                    <a:schemeClr val="accent3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CDE-4EA4-85F5-0C77599704EA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shade val="51000"/>
                    </a:schemeClr>
                  </a:gs>
                  <a:gs pos="80000">
                    <a:schemeClr val="accent4">
                      <a:shade val="93000"/>
                    </a:schemeClr>
                  </a:gs>
                  <a:gs pos="100000">
                    <a:schemeClr val="accent4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CDE-4EA4-85F5-0C77599704EA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shade val="51000"/>
                    </a:schemeClr>
                  </a:gs>
                  <a:gs pos="80000">
                    <a:schemeClr val="accent5">
                      <a:shade val="93000"/>
                    </a:schemeClr>
                  </a:gs>
                  <a:gs pos="100000">
                    <a:schemeClr val="accent5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CDE-4EA4-85F5-0C77599704EA}"/>
              </c:ext>
            </c:extLst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shade val="51000"/>
                    </a:schemeClr>
                  </a:gs>
                  <a:gs pos="80000">
                    <a:schemeClr val="accent6">
                      <a:shade val="93000"/>
                    </a:schemeClr>
                  </a:gs>
                  <a:gs pos="100000">
                    <a:schemeClr val="accent6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CDE-4EA4-85F5-0C77599704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'Evidencia Respuestas'!$G$4:$G$10</c:f>
              <c:strCache>
                <c:ptCount val="6"/>
                <c:pt idx="0">
                  <c:v>Clothing</c:v>
                </c:pt>
                <c:pt idx="1">
                  <c:v>Furniture</c:v>
                </c:pt>
                <c:pt idx="2">
                  <c:v>Books</c:v>
                </c:pt>
                <c:pt idx="3">
                  <c:v>Toys</c:v>
                </c:pt>
                <c:pt idx="4">
                  <c:v>Electronics</c:v>
                </c:pt>
                <c:pt idx="5">
                  <c:v>Grocery</c:v>
                </c:pt>
              </c:strCache>
            </c:strRef>
          </c:cat>
          <c:val>
            <c:numRef>
              <c:f>'Evidencia Respuestas'!$H$4:$H$10</c:f>
              <c:numCache>
                <c:formatCode>"$"\ #,##0</c:formatCode>
                <c:ptCount val="6"/>
                <c:pt idx="0">
                  <c:v>955529</c:v>
                </c:pt>
                <c:pt idx="1">
                  <c:v>889121</c:v>
                </c:pt>
                <c:pt idx="2">
                  <c:v>843339</c:v>
                </c:pt>
                <c:pt idx="3">
                  <c:v>815076</c:v>
                </c:pt>
                <c:pt idx="4">
                  <c:v>694460</c:v>
                </c:pt>
                <c:pt idx="5">
                  <c:v>589102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CDE-4EA4-85F5-0C77599704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[Análisis_de_Datos_con_Excel.xlsx]Evidencia Respuestas!4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Promedio Rating categoría de producto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'Evidencia Respuestas'!$K$3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'Evidencia Respuestas'!$J$4:$J$10</c:f>
              <c:strCache>
                <c:ptCount val="6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Grocery</c:v>
                </c:pt>
                <c:pt idx="5">
                  <c:v>Toys</c:v>
                </c:pt>
              </c:strCache>
            </c:strRef>
          </c:cat>
          <c:val>
            <c:numRef>
              <c:f>'Evidencia Respuestas'!$K$4:$K$10</c:f>
              <c:numCache>
                <c:formatCode>0.00</c:formatCode>
                <c:ptCount val="6"/>
                <c:pt idx="0">
                  <c:v>3.0710526315789477</c:v>
                </c:pt>
                <c:pt idx="1">
                  <c:v>2.837634408602149</c:v>
                </c:pt>
                <c:pt idx="2">
                  <c:v>2.8040000000000007</c:v>
                </c:pt>
                <c:pt idx="3">
                  <c:v>3.2105882352941175</c:v>
                </c:pt>
                <c:pt idx="4">
                  <c:v>2.9230769230769225</c:v>
                </c:pt>
                <c:pt idx="5">
                  <c:v>2.9300000000000006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31-4055-A2A0-982E7D45D4F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266585215"/>
        <c:axId val="1266582335"/>
      </c:barChart>
      <c:catAx>
        <c:axId val="1266585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6582335"/>
        <c:crosses val="autoZero"/>
        <c:auto val="1"/>
        <c:lblAlgn val="ctr"/>
        <c:lblOffset val="100"/>
        <c:noMultiLvlLbl val="0"/>
      </c:catAx>
      <c:valAx>
        <c:axId val="1266582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658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[Análisis_de_Datos_con_Excel.xlsx]Evidencia Respuestas!1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Cantidad de clientes por país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</c:pivotFmt>
      <c:pivotFmt>
        <c:idx val="10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</c:pivotFmt>
      <c:pivotFmt>
        <c:idx val="11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</c:pivotFmt>
      <c:pivotFmt>
        <c:idx val="12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</c:pivotFmt>
      <c:pivotFmt>
        <c:idx val="13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</c:pivotFmt>
      <c:pivotFmt>
        <c:idx val="14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'Evidencia Respuestas'!$B$3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0">
                    <a:schemeClr val="accent1">
                      <a:shade val="51000"/>
                    </a:schemeClr>
                  </a:gs>
                  <a:gs pos="80000">
                    <a:schemeClr val="accent1">
                      <a:shade val="93000"/>
                    </a:schemeClr>
                  </a:gs>
                  <a:gs pos="100000">
                    <a:schemeClr val="accent1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B9E-4820-B539-13873641C91F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shade val="51000"/>
                    </a:schemeClr>
                  </a:gs>
                  <a:gs pos="80000">
                    <a:schemeClr val="accent2">
                      <a:shade val="93000"/>
                    </a:schemeClr>
                  </a:gs>
                  <a:gs pos="100000">
                    <a:schemeClr val="accent2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B9E-4820-B539-13873641C91F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shade val="51000"/>
                    </a:schemeClr>
                  </a:gs>
                  <a:gs pos="80000">
                    <a:schemeClr val="accent3">
                      <a:shade val="93000"/>
                    </a:schemeClr>
                  </a:gs>
                  <a:gs pos="100000">
                    <a:schemeClr val="accent3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B9E-4820-B539-13873641C91F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shade val="51000"/>
                    </a:schemeClr>
                  </a:gs>
                  <a:gs pos="80000">
                    <a:schemeClr val="accent4">
                      <a:shade val="93000"/>
                    </a:schemeClr>
                  </a:gs>
                  <a:gs pos="100000">
                    <a:schemeClr val="accent4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B9E-4820-B539-13873641C91F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shade val="51000"/>
                    </a:schemeClr>
                  </a:gs>
                  <a:gs pos="80000">
                    <a:schemeClr val="accent5">
                      <a:shade val="93000"/>
                    </a:schemeClr>
                  </a:gs>
                  <a:gs pos="100000">
                    <a:schemeClr val="accent5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B9E-4820-B539-13873641C91F}"/>
              </c:ext>
            </c:extLst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shade val="51000"/>
                    </a:schemeClr>
                  </a:gs>
                  <a:gs pos="80000">
                    <a:schemeClr val="accent6">
                      <a:shade val="93000"/>
                    </a:schemeClr>
                  </a:gs>
                  <a:gs pos="100000">
                    <a:schemeClr val="accent6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B9E-4820-B539-13873641C9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'Evidencia Respuestas'!$A$4:$A$10</c:f>
              <c:strCache>
                <c:ptCount val="6"/>
                <c:pt idx="0">
                  <c:v>Pakistan</c:v>
                </c:pt>
                <c:pt idx="1">
                  <c:v>Sri Lanka</c:v>
                </c:pt>
                <c:pt idx="2">
                  <c:v>Bangladesh</c:v>
                </c:pt>
                <c:pt idx="3">
                  <c:v>Afghanistan</c:v>
                </c:pt>
                <c:pt idx="4">
                  <c:v>Nepal</c:v>
                </c:pt>
                <c:pt idx="5">
                  <c:v>India</c:v>
                </c:pt>
              </c:strCache>
            </c:strRef>
          </c:cat>
          <c:val>
            <c:numRef>
              <c:f>'Evidencia Respuestas'!$B$4:$B$10</c:f>
              <c:numCache>
                <c:formatCode>General</c:formatCode>
                <c:ptCount val="6"/>
                <c:pt idx="0">
                  <c:v>89</c:v>
                </c:pt>
                <c:pt idx="1">
                  <c:v>85</c:v>
                </c:pt>
                <c:pt idx="2">
                  <c:v>84</c:v>
                </c:pt>
                <c:pt idx="3">
                  <c:v>76</c:v>
                </c:pt>
                <c:pt idx="4">
                  <c:v>75</c:v>
                </c:pt>
                <c:pt idx="5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B9E-4820-B539-13873641C91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</xdr:row>
      <xdr:rowOff>9524</xdr:rowOff>
    </xdr:from>
    <xdr:to>
      <xdr:col>15</xdr:col>
      <xdr:colOff>952500</xdr:colOff>
      <xdr:row>19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590ABB5-E00C-490C-BFA6-DADDE4528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190499</xdr:colOff>
      <xdr:row>22</xdr:row>
      <xdr:rowOff>28575</xdr:rowOff>
    </xdr:from>
    <xdr:to>
      <xdr:col>15</xdr:col>
      <xdr:colOff>933450</xdr:colOff>
      <xdr:row>42</xdr:row>
      <xdr:rowOff>85725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5A0FE75-E707-71B8-4C89-408120AFDE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1371600</xdr:colOff>
      <xdr:row>45</xdr:row>
      <xdr:rowOff>9524</xdr:rowOff>
    </xdr:from>
    <xdr:to>
      <xdr:col>14</xdr:col>
      <xdr:colOff>504824</xdr:colOff>
      <xdr:row>65</xdr:row>
      <xdr:rowOff>152399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82F1BAD-3BFE-7FA6-F4FF-2B84F74291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</xdr:row>
      <xdr:rowOff>123825</xdr:rowOff>
    </xdr:from>
    <xdr:to>
      <xdr:col>4</xdr:col>
      <xdr:colOff>314325</xdr:colOff>
      <xdr:row>19</xdr:row>
      <xdr:rowOff>9525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60B8CBC-C56C-40FF-BFE5-B92DF4CB18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381000</xdr:colOff>
      <xdr:row>4</xdr:row>
      <xdr:rowOff>114300</xdr:rowOff>
    </xdr:from>
    <xdr:to>
      <xdr:col>7</xdr:col>
      <xdr:colOff>1228725</xdr:colOff>
      <xdr:row>19</xdr:row>
      <xdr:rowOff>9525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F41251F-B75D-418A-8B5B-31E321B726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200024</xdr:colOff>
      <xdr:row>19</xdr:row>
      <xdr:rowOff>66675</xdr:rowOff>
    </xdr:from>
    <xdr:to>
      <xdr:col>4</xdr:col>
      <xdr:colOff>314325</xdr:colOff>
      <xdr:row>33</xdr:row>
      <xdr:rowOff>142875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67707CF-81B8-4AD7-B90E-FD02B8F4C7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371474</xdr:colOff>
      <xdr:row>19</xdr:row>
      <xdr:rowOff>66675</xdr:rowOff>
    </xdr:from>
    <xdr:to>
      <xdr:col>7</xdr:col>
      <xdr:colOff>1238249</xdr:colOff>
      <xdr:row>33</xdr:row>
      <xdr:rowOff>142875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4CBA9E0C-13D1-4411-A9CC-C0EDB6DDE7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523875</xdr:colOff>
      <xdr:row>0</xdr:row>
      <xdr:rowOff>133350</xdr:rowOff>
    </xdr:from>
    <xdr:to>
      <xdr:col>10</xdr:col>
      <xdr:colOff>666750</xdr:colOff>
      <xdr:row>11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Country">
              <a:extLst>
                <a:ext uri="{FF2B5EF4-FFF2-40B4-BE49-F238E27FC236}">
                  <a16:creationId xmlns:a16="http://schemas.microsoft.com/office/drawing/2014/main" id="{DC6F95C3-5F00-45A7-9D4C-7E014CB8A0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15575" y="133350"/>
              <a:ext cx="1828800" cy="1990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523875</xdr:colOff>
      <xdr:row>11</xdr:row>
      <xdr:rowOff>57150</xdr:rowOff>
    </xdr:from>
    <xdr:to>
      <xdr:col>10</xdr:col>
      <xdr:colOff>666750</xdr:colOff>
      <xdr:row>21</xdr:row>
      <xdr:rowOff>152399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Product_Category">
              <a:extLst>
                <a:ext uri="{FF2B5EF4-FFF2-40B4-BE49-F238E27FC236}">
                  <a16:creationId xmlns:a16="http://schemas.microsoft.com/office/drawing/2014/main" id="{EA986EE1-6F71-4DDE-98D9-E225D39FDA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_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15575" y="2152650"/>
              <a:ext cx="1828800" cy="20002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</xdr:col>
      <xdr:colOff>209549</xdr:colOff>
      <xdr:row>0</xdr:row>
      <xdr:rowOff>123825</xdr:rowOff>
    </xdr:from>
    <xdr:to>
      <xdr:col>3</xdr:col>
      <xdr:colOff>838200</xdr:colOff>
      <xdr:row>3</xdr:row>
      <xdr:rowOff>142875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5C243B71-48E4-1D62-45E1-3E64C9D10D4E}"/>
            </a:ext>
          </a:extLst>
        </xdr:cNvPr>
        <xdr:cNvGrpSpPr/>
      </xdr:nvGrpSpPr>
      <xdr:grpSpPr>
        <a:xfrm>
          <a:off x="2743199" y="123825"/>
          <a:ext cx="1390651" cy="590550"/>
          <a:chOff x="3067050" y="171450"/>
          <a:chExt cx="1200150" cy="590550"/>
        </a:xfrm>
      </xdr:grpSpPr>
      <xdr:sp macro="" textlink="">
        <xdr:nvSpPr>
          <xdr:cNvPr id="3" name="Rectángulo 2">
            <a:extLst>
              <a:ext uri="{FF2B5EF4-FFF2-40B4-BE49-F238E27FC236}">
                <a16:creationId xmlns:a16="http://schemas.microsoft.com/office/drawing/2014/main" id="{9B1B992B-8309-F419-FDD4-F7DABCF26FD7}"/>
              </a:ext>
            </a:extLst>
          </xdr:cNvPr>
          <xdr:cNvSpPr/>
        </xdr:nvSpPr>
        <xdr:spPr>
          <a:xfrm>
            <a:off x="3067050" y="171450"/>
            <a:ext cx="1200150" cy="219075"/>
          </a:xfrm>
          <a:prstGeom prst="rect">
            <a:avLst/>
          </a:prstGeom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100" b="1"/>
              <a:t>TOTAL DE COMPRAS</a:t>
            </a:r>
          </a:p>
        </xdr:txBody>
      </xdr:sp>
      <xdr:sp macro="" textlink="'Evidencia Respuestas'!E22">
        <xdr:nvSpPr>
          <xdr:cNvPr id="4" name="Rectángulo 3">
            <a:extLst>
              <a:ext uri="{FF2B5EF4-FFF2-40B4-BE49-F238E27FC236}">
                <a16:creationId xmlns:a16="http://schemas.microsoft.com/office/drawing/2014/main" id="{5EE41BA2-711A-980A-819E-CA187E66FBA4}"/>
              </a:ext>
            </a:extLst>
          </xdr:cNvPr>
          <xdr:cNvSpPr/>
        </xdr:nvSpPr>
        <xdr:spPr>
          <a:xfrm>
            <a:off x="3067050" y="390525"/>
            <a:ext cx="1200150" cy="371475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42C65F60-F3DD-4650-B690-F594E6060FEA}" type="TxLink">
              <a:rPr lang="en-US" sz="16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$ 4.786.627</a:t>
            </a:fld>
            <a:endParaRPr lang="es-CO" sz="1600" b="1"/>
          </a:p>
        </xdr:txBody>
      </xdr:sp>
    </xdr:grpSp>
    <xdr:clientData/>
  </xdr:twoCellAnchor>
  <xdr:twoCellAnchor>
    <xdr:from>
      <xdr:col>3</xdr:col>
      <xdr:colOff>933450</xdr:colOff>
      <xdr:row>0</xdr:row>
      <xdr:rowOff>123825</xdr:rowOff>
    </xdr:from>
    <xdr:to>
      <xdr:col>4</xdr:col>
      <xdr:colOff>1047751</xdr:colOff>
      <xdr:row>3</xdr:row>
      <xdr:rowOff>142875</xdr:rowOff>
    </xdr:to>
    <xdr:grpSp>
      <xdr:nvGrpSpPr>
        <xdr:cNvPr id="15" name="Grupo 14">
          <a:extLst>
            <a:ext uri="{FF2B5EF4-FFF2-40B4-BE49-F238E27FC236}">
              <a16:creationId xmlns:a16="http://schemas.microsoft.com/office/drawing/2014/main" id="{98AF8ABF-AE5B-4CA7-B452-B7040DCCA233}"/>
            </a:ext>
          </a:extLst>
        </xdr:cNvPr>
        <xdr:cNvGrpSpPr/>
      </xdr:nvGrpSpPr>
      <xdr:grpSpPr>
        <a:xfrm>
          <a:off x="4229100" y="123825"/>
          <a:ext cx="1390651" cy="590550"/>
          <a:chOff x="3067050" y="171450"/>
          <a:chExt cx="1200150" cy="590550"/>
        </a:xfrm>
      </xdr:grpSpPr>
      <xdr:sp macro="" textlink="">
        <xdr:nvSpPr>
          <xdr:cNvPr id="16" name="Rectángulo 15">
            <a:extLst>
              <a:ext uri="{FF2B5EF4-FFF2-40B4-BE49-F238E27FC236}">
                <a16:creationId xmlns:a16="http://schemas.microsoft.com/office/drawing/2014/main" id="{78157827-FB2B-32D6-5F55-8B134B79E187}"/>
              </a:ext>
            </a:extLst>
          </xdr:cNvPr>
          <xdr:cNvSpPr/>
        </xdr:nvSpPr>
        <xdr:spPr>
          <a:xfrm>
            <a:off x="3067050" y="171450"/>
            <a:ext cx="1200150" cy="219075"/>
          </a:xfrm>
          <a:prstGeom prst="rect">
            <a:avLst/>
          </a:prstGeom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100" b="1"/>
              <a:t>CLIENTES</a:t>
            </a:r>
            <a:r>
              <a:rPr lang="es-CO" sz="1100" b="1" baseline="0"/>
              <a:t> TOTALES</a:t>
            </a:r>
            <a:endParaRPr lang="es-CO" sz="1100" b="1"/>
          </a:p>
        </xdr:txBody>
      </xdr:sp>
      <xdr:sp macro="" textlink="'Evidencia Respuestas'!B10">
        <xdr:nvSpPr>
          <xdr:cNvPr id="17" name="Rectángulo 16">
            <a:extLst>
              <a:ext uri="{FF2B5EF4-FFF2-40B4-BE49-F238E27FC236}">
                <a16:creationId xmlns:a16="http://schemas.microsoft.com/office/drawing/2014/main" id="{9A421884-BBA7-D597-AEF7-43165BBA1FF2}"/>
              </a:ext>
            </a:extLst>
          </xdr:cNvPr>
          <xdr:cNvSpPr/>
        </xdr:nvSpPr>
        <xdr:spPr>
          <a:xfrm>
            <a:off x="3067050" y="390525"/>
            <a:ext cx="1200150" cy="371475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51F66567-140B-45DA-9919-0C9C67B6F92C}" type="TxLink">
              <a:rPr lang="en-US" sz="16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484</a:t>
            </a:fld>
            <a:endParaRPr lang="es-CO" sz="1600" b="1"/>
          </a:p>
        </xdr:txBody>
      </xdr:sp>
    </xdr:grpSp>
    <xdr:clientData/>
  </xdr:twoCellAnchor>
  <xdr:twoCellAnchor>
    <xdr:from>
      <xdr:col>4</xdr:col>
      <xdr:colOff>1133475</xdr:colOff>
      <xdr:row>0</xdr:row>
      <xdr:rowOff>123825</xdr:rowOff>
    </xdr:from>
    <xdr:to>
      <xdr:col>5</xdr:col>
      <xdr:colOff>828676</xdr:colOff>
      <xdr:row>3</xdr:row>
      <xdr:rowOff>142875</xdr:rowOff>
    </xdr:to>
    <xdr:grpSp>
      <xdr:nvGrpSpPr>
        <xdr:cNvPr id="18" name="Grupo 17">
          <a:extLst>
            <a:ext uri="{FF2B5EF4-FFF2-40B4-BE49-F238E27FC236}">
              <a16:creationId xmlns:a16="http://schemas.microsoft.com/office/drawing/2014/main" id="{40824962-CA28-44B2-858A-BF6B79C66752}"/>
            </a:ext>
          </a:extLst>
        </xdr:cNvPr>
        <xdr:cNvGrpSpPr/>
      </xdr:nvGrpSpPr>
      <xdr:grpSpPr>
        <a:xfrm>
          <a:off x="5705475" y="123825"/>
          <a:ext cx="1390651" cy="590550"/>
          <a:chOff x="3067050" y="171450"/>
          <a:chExt cx="1200150" cy="590550"/>
        </a:xfrm>
      </xdr:grpSpPr>
      <xdr:sp macro="" textlink="">
        <xdr:nvSpPr>
          <xdr:cNvPr id="19" name="Rectángulo 18">
            <a:extLst>
              <a:ext uri="{FF2B5EF4-FFF2-40B4-BE49-F238E27FC236}">
                <a16:creationId xmlns:a16="http://schemas.microsoft.com/office/drawing/2014/main" id="{739CA779-632C-EF21-DE29-FB066A4C11F1}"/>
              </a:ext>
            </a:extLst>
          </xdr:cNvPr>
          <xdr:cNvSpPr/>
        </xdr:nvSpPr>
        <xdr:spPr>
          <a:xfrm>
            <a:off x="3067050" y="171450"/>
            <a:ext cx="1200150" cy="219075"/>
          </a:xfrm>
          <a:prstGeom prst="rect">
            <a:avLst/>
          </a:prstGeom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100" b="1"/>
              <a:t>RATING</a:t>
            </a:r>
            <a:r>
              <a:rPr lang="es-CO" sz="1100" b="1" baseline="0"/>
              <a:t> PROMEDIO</a:t>
            </a:r>
            <a:endParaRPr lang="es-CO" sz="1100" b="1"/>
          </a:p>
        </xdr:txBody>
      </xdr:sp>
      <xdr:sp macro="" textlink="'Evidencia Respuestas'!K10">
        <xdr:nvSpPr>
          <xdr:cNvPr id="20" name="Rectángulo 19">
            <a:extLst>
              <a:ext uri="{FF2B5EF4-FFF2-40B4-BE49-F238E27FC236}">
                <a16:creationId xmlns:a16="http://schemas.microsoft.com/office/drawing/2014/main" id="{3E8DA6B1-D8E3-EDAB-8DF5-252BFCE3D7D3}"/>
              </a:ext>
            </a:extLst>
          </xdr:cNvPr>
          <xdr:cNvSpPr/>
        </xdr:nvSpPr>
        <xdr:spPr>
          <a:xfrm>
            <a:off x="3067050" y="390525"/>
            <a:ext cx="1200150" cy="371475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CB213C4E-ACE0-44B5-9839-D5C92F82CCAB}" type="TxLink">
              <a:rPr lang="en-US" sz="18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2,96</a:t>
            </a:fld>
            <a:endParaRPr lang="es-CO" sz="1800" b="1"/>
          </a:p>
        </xdr:txBody>
      </xdr:sp>
    </xdr:grpSp>
    <xdr:clientData/>
  </xdr:twoCellAnchor>
  <xdr:twoCellAnchor editAs="oneCell">
    <xdr:from>
      <xdr:col>8</xdr:col>
      <xdr:colOff>523875</xdr:colOff>
      <xdr:row>21</xdr:row>
      <xdr:rowOff>180975</xdr:rowOff>
    </xdr:from>
    <xdr:to>
      <xdr:col>10</xdr:col>
      <xdr:colOff>666750</xdr:colOff>
      <xdr:row>33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Age">
              <a:extLst>
                <a:ext uri="{FF2B5EF4-FFF2-40B4-BE49-F238E27FC236}">
                  <a16:creationId xmlns:a16="http://schemas.microsoft.com/office/drawing/2014/main" id="{240B658C-FCFA-4814-A008-2761D9B25F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15575" y="4181475"/>
              <a:ext cx="1828800" cy="2219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ez042@hotmail.com" refreshedDate="46261.806040162039" createdVersion="8" refreshedVersion="8" minRefreshableVersion="3" recordCount="484" xr:uid="{53C7831C-0199-499B-9B9C-F2AFEF488837}">
  <cacheSource type="worksheet">
    <worksheetSource name="Tabla1_1"/>
  </cacheSource>
  <cacheFields count="11">
    <cacheField name="ID" numFmtId="1">
      <sharedItems containsSemiMixedTypes="0" containsString="0" containsNumber="1" containsInteger="1" minValue="1" maxValue="500"/>
    </cacheField>
    <cacheField name="Name" numFmtId="0">
      <sharedItems count="236">
        <s v="Jason"/>
        <s v="Ashley"/>
        <s v="Mitchell"/>
        <s v="Kimberly"/>
        <s v="Erik"/>
        <s v="Haley"/>
        <s v="Michael"/>
        <s v="Michelle"/>
        <s v="Jessica"/>
        <s v="Rebecca"/>
        <s v="Misty"/>
        <s v="Victor"/>
        <s v="Gary"/>
        <s v="Larry"/>
        <s v="Daniel"/>
        <s v="Anthony"/>
        <s v="Brandon"/>
        <s v="Ryan"/>
        <s v="Wendy"/>
        <s v="David"/>
        <s v="John"/>
        <s v="Julian"/>
        <s v="Jonathan"/>
        <s v="William"/>
        <s v="Alicia"/>
        <s v="Kristy"/>
        <s v="James"/>
        <s v="Linda"/>
        <s v="Kevin"/>
        <s v="Austin"/>
        <s v="Denise"/>
        <s v="Eric"/>
        <s v="Roger"/>
        <s v="Nicole"/>
        <s v="Adam"/>
        <s v="Nicholas"/>
        <s v="Marcia"/>
        <s v="Shawn"/>
        <s v="Stephen"/>
        <s v="Jacob"/>
        <s v="Rachel"/>
        <s v="Gerald"/>
        <s v="Robert"/>
        <s v="Christopher"/>
        <s v="Carrie"/>
        <s v="Heather"/>
        <s v="Mary"/>
        <s v="Sheri"/>
        <s v="Victoria"/>
        <s v="Crystal"/>
        <s v="Janet"/>
        <s v="Ricky"/>
        <s v="Colleen"/>
        <s v="Stephanie"/>
        <s v="Patrick"/>
        <s v="Cody"/>
        <s v="Andrea"/>
        <s v="Kenneth"/>
        <s v="Samantha"/>
        <s v="Sean"/>
        <s v="Erin"/>
        <s v="Diana"/>
        <s v="Kristina"/>
        <s v="Hunter"/>
        <s v="Melissa"/>
        <s v="Joshua"/>
        <s v="Joseph"/>
        <s v="Lisa"/>
        <s v="Vickie"/>
        <s v="Mark"/>
        <s v="Madison"/>
        <s v="Jose"/>
        <s v="Nancy"/>
        <s v="Devin"/>
        <s v="Melody"/>
        <s v="Amy"/>
        <s v="Jennifer"/>
        <s v="Teresa"/>
        <s v="April"/>
        <s v="Richard"/>
        <s v="Cassandra"/>
        <s v="Charles"/>
        <s v="Arthur"/>
        <s v="Jeremy"/>
        <s v="Danielle"/>
        <s v="Justin"/>
        <s v="Yolanda"/>
        <s v="Veronica"/>
        <s v="Nathan"/>
        <s v="Tonya"/>
        <s v="Thomas"/>
        <s v="Angela"/>
        <s v="Steven"/>
        <s v="Raymond"/>
        <s v="Sarah"/>
        <s v="Dominic"/>
        <s v="Cheryl"/>
        <s v="Kathleen"/>
        <s v="Kristen"/>
        <s v="Karen"/>
        <s v="Maria"/>
        <s v="Meghan"/>
        <s v="Bruce"/>
        <s v="Benjamin"/>
        <s v="Scott"/>
        <s v="Erika"/>
        <s v="Christian"/>
        <s v="Leon"/>
        <s v="Martha"/>
        <s v="Sara"/>
        <s v="Paul"/>
        <s v="Katelyn"/>
        <s v="Cynthia"/>
        <s v="Maureen"/>
        <s v="Sherry"/>
        <s v="Rhonda"/>
        <s v="Sandra"/>
        <s v="Troy"/>
        <s v="Wayne"/>
        <s v="Melanie"/>
        <s v="Courtney"/>
        <s v="Frances"/>
        <s v="Vanessa"/>
        <s v="Alan"/>
        <s v="Kelli"/>
        <s v="Alexandra"/>
        <s v="Ian"/>
        <s v="Lonnie"/>
        <s v="Taylor"/>
        <s v="Phillip"/>
        <s v="Charlene"/>
        <s v="Katherine"/>
        <s v="Bonnie"/>
        <s v="Kayla"/>
        <s v="Donald"/>
        <s v="Amber"/>
        <s v="Amanda"/>
        <s v="Sergio"/>
        <s v="Marc"/>
        <s v="Christine"/>
        <s v="Ruth"/>
        <s v="Carolyn"/>
        <s v="Fernando"/>
        <s v="Peggy"/>
        <s v="Tina"/>
        <s v="Shannon"/>
        <s v="Corey"/>
        <s v="Jeffrey"/>
        <s v="Spencer"/>
        <s v="Jesus"/>
        <s v="Tyler"/>
        <s v="Harold"/>
        <s v="Douglas"/>
        <s v="Willie"/>
        <s v="Calvin"/>
        <s v="Terri"/>
        <s v="Vincent"/>
        <s v="Andrew"/>
        <s v="Pamela"/>
        <s v="Molly"/>
        <s v="Peter"/>
        <s v="Lindsay"/>
        <s v="Holly"/>
        <s v="Jenny"/>
        <s v="Valerie"/>
        <s v="Matthew"/>
        <s v="Joyce"/>
        <s v="Dawn"/>
        <s v="Walter"/>
        <s v="Mason"/>
        <s v="Cameron"/>
        <s v="Desiree"/>
        <s v="Dustin"/>
        <s v="Kelly"/>
        <s v="Alexander"/>
        <s v="Russell"/>
        <s v="Laura"/>
        <s v="Allison"/>
        <s v="Ricardo"/>
        <s v="Marcus"/>
        <s v="Lee"/>
        <s v="Ellen"/>
        <s v="Kiara"/>
        <s v="Tanya"/>
        <s v="Jasmine"/>
        <s v="Megan"/>
        <s v="Curtis"/>
        <s v="Timothy"/>
        <s v="Carol"/>
        <s v="Carla"/>
        <s v="Carlos"/>
        <s v="Seth"/>
        <s v="Lindsey"/>
        <s v="Beverly"/>
        <s v="Krista"/>
        <s v="Stacey"/>
        <s v="Emily"/>
        <s v="Jake"/>
        <s v="Chad"/>
        <s v="Stacy"/>
        <s v="Martin"/>
        <s v="Michele"/>
        <s v="Leslie"/>
        <s v="Bridget"/>
        <s v="Tracey"/>
        <s v="Christina"/>
        <s v="Kyle"/>
        <s v="Catherine"/>
        <s v="Carl"/>
        <s v="Kelsey"/>
        <s v="Julie"/>
        <s v="Alexa"/>
        <s v="Natalie"/>
        <s v="Kurt"/>
        <s v="Kirsten"/>
        <s v="Tammy"/>
        <s v="Wesley"/>
        <s v="Kathryn"/>
        <s v="Brian"/>
        <s v="Blake"/>
        <s v="Sherri"/>
        <s v="Cindy"/>
        <s v="Morgan"/>
        <s v="Edwin"/>
        <s v="Lucas"/>
        <s v="Brenda"/>
        <s v="Elaine"/>
        <s v="Brittany"/>
        <s v="Tony"/>
        <s v="Samuel"/>
        <s v="Adrian"/>
        <s v="Tracy"/>
        <s v="Anna"/>
        <s v="Zachary"/>
        <s v="Barbara"/>
        <s v="Jimmy"/>
      </sharedItems>
    </cacheField>
    <cacheField name="Age" numFmtId="1">
      <sharedItems containsSemiMixedTypes="0" containsString="0" containsNumber="1" containsInteger="1" minValue="18" maxValue="59" count="42">
        <n v="26"/>
        <n v="47"/>
        <n v="24"/>
        <n v="41"/>
        <n v="49"/>
        <n v="59"/>
        <n v="54"/>
        <n v="55"/>
        <n v="28"/>
        <n v="51"/>
        <n v="57"/>
        <n v="22"/>
        <n v="43"/>
        <n v="18"/>
        <n v="29"/>
        <n v="33"/>
        <n v="48"/>
        <n v="53"/>
        <n v="46"/>
        <n v="19"/>
        <n v="35"/>
        <n v="31"/>
        <n v="42"/>
        <n v="52"/>
        <n v="25"/>
        <n v="34"/>
        <n v="58"/>
        <n v="32"/>
        <n v="20"/>
        <n v="56"/>
        <n v="50"/>
        <n v="38"/>
        <n v="44"/>
        <n v="45"/>
        <n v="23"/>
        <n v="36"/>
        <n v="39"/>
        <n v="40"/>
        <n v="30"/>
        <n v="21"/>
        <n v="27"/>
        <n v="37"/>
      </sharedItems>
    </cacheField>
    <cacheField name="Gender" numFmtId="0">
      <sharedItems count="2">
        <s v="Female"/>
        <s v="Male"/>
      </sharedItems>
    </cacheField>
    <cacheField name="Country" numFmtId="0">
      <sharedItems count="6">
        <s v="Pakistan"/>
        <s v="Nepal"/>
        <s v="Sri Lanka"/>
        <s v="Bangladesh"/>
        <s v="Afghanistan"/>
        <s v="India"/>
      </sharedItems>
    </cacheField>
    <cacheField name="Join_Date" numFmtId="14">
      <sharedItems containsSemiMixedTypes="0" containsNonDate="0" containsDate="1" containsString="0" minDate="2022-05-20T00:00:00" maxDate="2025-05-19T00:00:00" count="405">
        <d v="2025-03-19T00:00:00"/>
        <d v="2024-02-28T00:00:00"/>
        <d v="2022-05-20T00:00:00"/>
        <d v="2023-06-16T00:00:00"/>
        <d v="2023-03-19T00:00:00"/>
        <d v="2024-02-01T00:00:00"/>
        <d v="2023-08-03T00:00:00"/>
        <d v="2025-01-05T00:00:00"/>
        <d v="2024-10-15T00:00:00"/>
        <d v="2024-10-21T00:00:00"/>
        <d v="2023-04-13T00:00:00"/>
        <d v="2024-08-24T00:00:00"/>
        <d v="2022-11-12T00:00:00"/>
        <d v="2023-11-21T00:00:00"/>
        <d v="2022-07-11T00:00:00"/>
        <d v="2024-12-23T00:00:00"/>
        <d v="2024-06-15T00:00:00"/>
        <d v="2022-08-02T00:00:00"/>
        <d v="2025-04-11T00:00:00"/>
        <d v="2022-11-13T00:00:00"/>
        <d v="2024-10-06T00:00:00"/>
        <d v="2023-09-04T00:00:00"/>
        <d v="2024-10-14T00:00:00"/>
        <d v="2024-12-20T00:00:00"/>
        <d v="2024-05-11T00:00:00"/>
        <d v="2024-08-10T00:00:00"/>
        <d v="2025-05-13T00:00:00"/>
        <d v="2023-07-07T00:00:00"/>
        <d v="2023-01-30T00:00:00"/>
        <d v="2023-12-31T00:00:00"/>
        <d v="2023-07-30T00:00:00"/>
        <d v="2024-12-26T00:00:00"/>
        <d v="2024-10-08T00:00:00"/>
        <d v="2024-07-20T00:00:00"/>
        <d v="2024-07-22T00:00:00"/>
        <d v="2024-04-28T00:00:00"/>
        <d v="2022-12-16T00:00:00"/>
        <d v="2022-12-08T00:00:00"/>
        <d v="2024-07-23T00:00:00"/>
        <d v="2024-11-25T00:00:00"/>
        <d v="2024-03-11T00:00:00"/>
        <d v="2024-10-02T00:00:00"/>
        <d v="2024-06-07T00:00:00"/>
        <d v="2024-08-05T00:00:00"/>
        <d v="2022-05-31T00:00:00"/>
        <d v="2025-03-13T00:00:00"/>
        <d v="2022-07-13T00:00:00"/>
        <d v="2023-11-22T00:00:00"/>
        <d v="2024-05-18T00:00:00"/>
        <d v="2025-05-07T00:00:00"/>
        <d v="2023-02-06T00:00:00"/>
        <d v="2024-02-27T00:00:00"/>
        <d v="2022-11-26T00:00:00"/>
        <d v="2022-10-01T00:00:00"/>
        <d v="2024-09-21T00:00:00"/>
        <d v="2023-01-24T00:00:00"/>
        <d v="2025-01-03T00:00:00"/>
        <d v="2024-10-17T00:00:00"/>
        <d v="2023-05-28T00:00:00"/>
        <d v="2024-08-20T00:00:00"/>
        <d v="2025-02-18T00:00:00"/>
        <d v="2024-07-25T00:00:00"/>
        <d v="2023-10-16T00:00:00"/>
        <d v="2024-11-21T00:00:00"/>
        <d v="2025-02-10T00:00:00"/>
        <d v="2024-03-04T00:00:00"/>
        <d v="2023-07-23T00:00:00"/>
        <d v="2022-07-17T00:00:00"/>
        <d v="2022-11-29T00:00:00"/>
        <d v="2023-03-23T00:00:00"/>
        <d v="2024-06-20T00:00:00"/>
        <d v="2025-01-29T00:00:00"/>
        <d v="2025-04-04T00:00:00"/>
        <d v="2024-06-28T00:00:00"/>
        <d v="2022-06-15T00:00:00"/>
        <d v="2025-04-21T00:00:00"/>
        <d v="2024-08-23T00:00:00"/>
        <d v="2022-12-23T00:00:00"/>
        <d v="2024-07-21T00:00:00"/>
        <d v="2023-04-19T00:00:00"/>
        <d v="2023-03-18T00:00:00"/>
        <d v="2022-11-28T00:00:00"/>
        <d v="2023-06-04T00:00:00"/>
        <d v="2023-04-15T00:00:00"/>
        <d v="2022-07-22T00:00:00"/>
        <d v="2022-07-20T00:00:00"/>
        <d v="2024-11-06T00:00:00"/>
        <d v="2024-06-08T00:00:00"/>
        <d v="2024-04-11T00:00:00"/>
        <d v="2024-01-24T00:00:00"/>
        <d v="2023-07-10T00:00:00"/>
        <d v="2024-11-22T00:00:00"/>
        <d v="2022-07-09T00:00:00"/>
        <d v="2024-11-28T00:00:00"/>
        <d v="2025-04-30T00:00:00"/>
        <d v="2023-11-27T00:00:00"/>
        <d v="2022-08-09T00:00:00"/>
        <d v="2024-01-22T00:00:00"/>
        <d v="2022-12-29T00:00:00"/>
        <d v="2023-05-07T00:00:00"/>
        <d v="2024-01-23T00:00:00"/>
        <d v="2023-05-17T00:00:00"/>
        <d v="2024-04-22T00:00:00"/>
        <d v="2023-01-25T00:00:00"/>
        <d v="2024-07-29T00:00:00"/>
        <d v="2023-08-07T00:00:00"/>
        <d v="2024-09-05T00:00:00"/>
        <d v="2024-05-04T00:00:00"/>
        <d v="2024-02-06T00:00:00"/>
        <d v="2025-01-17T00:00:00"/>
        <d v="2023-01-14T00:00:00"/>
        <d v="2022-08-26T00:00:00"/>
        <d v="2025-02-06T00:00:00"/>
        <d v="2022-11-03T00:00:00"/>
        <d v="2023-12-22T00:00:00"/>
        <d v="2023-08-05T00:00:00"/>
        <d v="2023-12-23T00:00:00"/>
        <d v="2022-10-18T00:00:00"/>
        <d v="2023-05-05T00:00:00"/>
        <d v="2025-01-25T00:00:00"/>
        <d v="2023-08-27T00:00:00"/>
        <d v="2023-10-15T00:00:00"/>
        <d v="2023-10-28T00:00:00"/>
        <d v="2023-02-28T00:00:00"/>
        <d v="2024-01-15T00:00:00"/>
        <d v="2023-08-12T00:00:00"/>
        <d v="2024-06-16T00:00:00"/>
        <d v="2023-12-21T00:00:00"/>
        <d v="2025-04-08T00:00:00"/>
        <d v="2023-07-27T00:00:00"/>
        <d v="2025-03-08T00:00:00"/>
        <d v="2024-01-04T00:00:00"/>
        <d v="2022-05-21T00:00:00"/>
        <d v="2024-03-30T00:00:00"/>
        <d v="2023-01-15T00:00:00"/>
        <d v="2022-12-31T00:00:00"/>
        <d v="2025-02-09T00:00:00"/>
        <d v="2023-05-02T00:00:00"/>
        <d v="2025-04-22T00:00:00"/>
        <d v="2025-01-02T00:00:00"/>
        <d v="2023-10-17T00:00:00"/>
        <d v="2023-05-13T00:00:00"/>
        <d v="2022-07-05T00:00:00"/>
        <d v="2023-03-24T00:00:00"/>
        <d v="2023-10-14T00:00:00"/>
        <d v="2022-06-07T00:00:00"/>
        <d v="2022-11-06T00:00:00"/>
        <d v="2024-07-26T00:00:00"/>
        <d v="2023-04-10T00:00:00"/>
        <d v="2024-12-12T00:00:00"/>
        <d v="2022-11-10T00:00:00"/>
        <d v="2024-06-01T00:00:00"/>
        <d v="2023-11-26T00:00:00"/>
        <d v="2023-02-15T00:00:00"/>
        <d v="2025-04-18T00:00:00"/>
        <d v="2025-04-20T00:00:00"/>
        <d v="2022-10-29T00:00:00"/>
        <d v="2025-04-09T00:00:00"/>
        <d v="2023-11-29T00:00:00"/>
        <d v="2022-10-11T00:00:00"/>
        <d v="2024-03-15T00:00:00"/>
        <d v="2024-12-10T00:00:00"/>
        <d v="2024-03-20T00:00:00"/>
        <d v="2023-08-08T00:00:00"/>
        <d v="2024-04-30T00:00:00"/>
        <d v="2024-05-21T00:00:00"/>
        <d v="2022-05-22T00:00:00"/>
        <d v="2024-08-15T00:00:00"/>
        <d v="2023-07-20T00:00:00"/>
        <d v="2024-07-27T00:00:00"/>
        <d v="2023-11-18T00:00:00"/>
        <d v="2022-12-30T00:00:00"/>
        <d v="2022-11-11T00:00:00"/>
        <d v="2024-03-28T00:00:00"/>
        <d v="2024-08-11T00:00:00"/>
        <d v="2024-02-18T00:00:00"/>
        <d v="2024-05-22T00:00:00"/>
        <d v="2024-07-16T00:00:00"/>
        <d v="2023-11-17T00:00:00"/>
        <d v="2024-02-20T00:00:00"/>
        <d v="2023-05-29T00:00:00"/>
        <d v="2023-02-22T00:00:00"/>
        <d v="2023-03-13T00:00:00"/>
        <d v="2022-08-08T00:00:00"/>
        <d v="2023-12-15T00:00:00"/>
        <d v="2023-01-22T00:00:00"/>
        <d v="2023-03-31T00:00:00"/>
        <d v="2023-11-28T00:00:00"/>
        <d v="2023-05-14T00:00:00"/>
        <d v="2022-05-25T00:00:00"/>
        <d v="2022-11-02T00:00:00"/>
        <d v="2024-03-25T00:00:00"/>
        <d v="2024-08-27T00:00:00"/>
        <d v="2024-02-19T00:00:00"/>
        <d v="2023-11-25T00:00:00"/>
        <d v="2023-04-08T00:00:00"/>
        <d v="2023-01-16T00:00:00"/>
        <d v="2024-09-13T00:00:00"/>
        <d v="2023-09-24T00:00:00"/>
        <d v="2022-08-05T00:00:00"/>
        <d v="2022-10-09T00:00:00"/>
        <d v="2024-10-10T00:00:00"/>
        <d v="2022-09-07T00:00:00"/>
        <d v="2022-07-25T00:00:00"/>
        <d v="2023-03-14T00:00:00"/>
        <d v="2025-04-26T00:00:00"/>
        <d v="2022-09-02T00:00:00"/>
        <d v="2023-08-20T00:00:00"/>
        <d v="2022-07-28T00:00:00"/>
        <d v="2024-12-24T00:00:00"/>
        <d v="2024-02-10T00:00:00"/>
        <d v="2023-06-11T00:00:00"/>
        <d v="2022-08-21T00:00:00"/>
        <d v="2022-06-18T00:00:00"/>
        <d v="2024-08-07T00:00:00"/>
        <d v="2023-10-18T00:00:00"/>
        <d v="2022-10-15T00:00:00"/>
        <d v="2023-01-10T00:00:00"/>
        <d v="2023-08-06T00:00:00"/>
        <d v="2023-10-29T00:00:00"/>
        <d v="2022-10-06T00:00:00"/>
        <d v="2022-09-01T00:00:00"/>
        <d v="2024-08-21T00:00:00"/>
        <d v="2022-11-25T00:00:00"/>
        <d v="2023-08-10T00:00:00"/>
        <d v="2023-06-20T00:00:00"/>
        <d v="2023-09-28T00:00:00"/>
        <d v="2024-01-27T00:00:00"/>
        <d v="2024-01-18T00:00:00"/>
        <d v="2024-12-05T00:00:00"/>
        <d v="2022-08-29T00:00:00"/>
        <d v="2024-12-14T00:00:00"/>
        <d v="2022-07-07T00:00:00"/>
        <d v="2024-06-06T00:00:00"/>
        <d v="2022-06-02T00:00:00"/>
        <d v="2023-04-16T00:00:00"/>
        <d v="2023-09-11T00:00:00"/>
        <d v="2023-12-28T00:00:00"/>
        <d v="2022-09-25T00:00:00"/>
        <d v="2024-02-11T00:00:00"/>
        <d v="2024-05-24T00:00:00"/>
        <d v="2024-08-03T00:00:00"/>
        <d v="2023-12-13T00:00:00"/>
        <d v="2022-07-15T00:00:00"/>
        <d v="2024-03-14T00:00:00"/>
        <d v="2024-01-17T00:00:00"/>
        <d v="2024-09-30T00:00:00"/>
        <d v="2025-02-05T00:00:00"/>
        <d v="2023-12-02T00:00:00"/>
        <d v="2025-04-19T00:00:00"/>
        <d v="2024-07-03T00:00:00"/>
        <d v="2023-04-25T00:00:00"/>
        <d v="2023-06-22T00:00:00"/>
        <d v="2025-01-21T00:00:00"/>
        <d v="2022-10-03T00:00:00"/>
        <d v="2022-06-25T00:00:00"/>
        <d v="2024-04-09T00:00:00"/>
        <d v="2024-07-07T00:00:00"/>
        <d v="2022-06-09T00:00:00"/>
        <d v="2023-05-04T00:00:00"/>
        <d v="2025-04-25T00:00:00"/>
        <d v="2022-11-01T00:00:00"/>
        <d v="2022-11-24T00:00:00"/>
        <d v="2024-02-05T00:00:00"/>
        <d v="2023-09-06T00:00:00"/>
        <d v="2024-11-03T00:00:00"/>
        <d v="2024-03-02T00:00:00"/>
        <d v="2023-01-06T00:00:00"/>
        <d v="2022-08-20T00:00:00"/>
        <d v="2022-09-09T00:00:00"/>
        <d v="2024-12-03T00:00:00"/>
        <d v="2025-03-16T00:00:00"/>
        <d v="2022-08-04T00:00:00"/>
        <d v="2024-06-05T00:00:00"/>
        <d v="2025-05-17T00:00:00"/>
        <d v="2023-06-18T00:00:00"/>
        <d v="2025-03-14T00:00:00"/>
        <d v="2025-05-03T00:00:00"/>
        <d v="2024-01-02T00:00:00"/>
        <d v="2023-03-26T00:00:00"/>
        <d v="2022-11-04T00:00:00"/>
        <d v="2024-02-12T00:00:00"/>
        <d v="2023-06-15T00:00:00"/>
        <d v="2023-07-02T00:00:00"/>
        <d v="2024-05-02T00:00:00"/>
        <d v="2024-06-21T00:00:00"/>
        <d v="2023-02-23T00:00:00"/>
        <d v="2024-09-11T00:00:00"/>
        <d v="2025-02-22T00:00:00"/>
        <d v="2022-06-08T00:00:00"/>
        <d v="2023-10-11T00:00:00"/>
        <d v="2024-03-24T00:00:00"/>
        <d v="2022-10-28T00:00:00"/>
        <d v="2025-03-11T00:00:00"/>
        <d v="2023-08-02T00:00:00"/>
        <d v="2024-06-04T00:00:00"/>
        <d v="2023-12-20T00:00:00"/>
        <d v="2023-06-27T00:00:00"/>
        <d v="2023-01-18T00:00:00"/>
        <d v="2025-04-28T00:00:00"/>
        <d v="2023-09-17T00:00:00"/>
        <d v="2023-04-02T00:00:00"/>
        <d v="2024-09-17T00:00:00"/>
        <d v="2025-01-26T00:00:00"/>
        <d v="2024-05-31T00:00:00"/>
        <d v="2022-12-12T00:00:00"/>
        <d v="2025-05-18T00:00:00"/>
        <d v="2022-05-26T00:00:00"/>
        <d v="2024-06-10T00:00:00"/>
        <d v="2022-08-03T00:00:00"/>
        <d v="2025-03-22T00:00:00"/>
        <d v="2025-03-17T00:00:00"/>
        <d v="2025-02-01T00:00:00"/>
        <d v="2024-06-02T00:00:00"/>
        <d v="2022-07-31T00:00:00"/>
        <d v="2022-10-24T00:00:00"/>
        <d v="2022-10-04T00:00:00"/>
        <d v="2024-02-29T00:00:00"/>
        <d v="2024-05-08T00:00:00"/>
        <d v="2022-10-05T00:00:00"/>
        <d v="2023-04-14T00:00:00"/>
        <d v="2025-05-04T00:00:00"/>
        <d v="2025-03-23T00:00:00"/>
        <d v="2025-03-15T00:00:00"/>
        <d v="2023-10-08T00:00:00"/>
        <d v="2024-08-01T00:00:00"/>
        <d v="2025-03-04T00:00:00"/>
        <d v="2023-02-12T00:00:00"/>
        <d v="2023-08-18T00:00:00"/>
        <d v="2024-07-12T00:00:00"/>
        <d v="2024-04-24T00:00:00"/>
        <d v="2024-08-22T00:00:00"/>
        <d v="2023-04-27T00:00:00"/>
        <d v="2023-09-08T00:00:00"/>
        <d v="2022-06-17T00:00:00"/>
        <d v="2023-01-19T00:00:00"/>
        <d v="2022-09-03T00:00:00"/>
        <d v="2025-03-28T00:00:00"/>
        <d v="2024-08-14T00:00:00"/>
        <d v="2025-03-09T00:00:00"/>
        <d v="2025-02-20T00:00:00"/>
        <d v="2023-07-24T00:00:00"/>
        <d v="2023-04-07T00:00:00"/>
        <d v="2024-07-09T00:00:00"/>
        <d v="2024-05-23T00:00:00"/>
        <d v="2024-11-11T00:00:00"/>
        <d v="2022-08-13T00:00:00"/>
        <d v="2022-11-27T00:00:00"/>
        <d v="2023-09-29T00:00:00"/>
        <d v="2022-08-06T00:00:00"/>
        <d v="2024-06-27T00:00:00"/>
        <d v="2023-01-26T00:00:00"/>
        <d v="2022-10-20T00:00:00"/>
        <d v="2022-07-14T00:00:00"/>
        <d v="2023-07-08T00:00:00"/>
        <d v="2023-06-23T00:00:00"/>
        <d v="2023-05-26T00:00:00"/>
        <d v="2024-01-16T00:00:00"/>
        <d v="2024-02-09T00:00:00"/>
        <d v="2023-02-11T00:00:00"/>
        <d v="2022-06-05T00:00:00"/>
        <d v="2024-02-21T00:00:00"/>
        <d v="2023-07-26T00:00:00"/>
        <d v="2025-04-10T00:00:00"/>
        <d v="2023-04-01T00:00:00"/>
        <d v="2024-04-27T00:00:00"/>
        <d v="2022-11-23T00:00:00"/>
        <d v="2023-10-24T00:00:00"/>
        <d v="2022-12-22T00:00:00"/>
        <d v="2025-01-16T00:00:00"/>
        <d v="2024-04-20T00:00:00"/>
        <d v="2023-07-12T00:00:00"/>
        <d v="2022-08-15T00:00:00"/>
        <d v="2023-01-23T00:00:00"/>
        <d v="2025-02-19T00:00:00"/>
        <d v="2025-01-24T00:00:00"/>
        <d v="2023-04-06T00:00:00"/>
        <d v="2023-03-08T00:00:00"/>
        <d v="2023-03-11T00:00:00"/>
        <d v="2024-05-28T00:00:00"/>
        <d v="2022-06-10T00:00:00"/>
        <d v="2024-09-22T00:00:00"/>
        <d v="2022-06-21T00:00:00"/>
        <d v="2023-10-01T00:00:00"/>
        <d v="2023-07-15T00:00:00"/>
        <d v="2023-10-09T00:00:00"/>
        <d v="2024-08-04T00:00:00"/>
        <d v="2024-12-11T00:00:00"/>
        <d v="2022-09-22T00:00:00"/>
        <d v="2024-08-31T00:00:00"/>
        <d v="2024-08-30T00:00:00"/>
        <d v="2024-03-09T00:00:00"/>
        <d v="2023-05-24T00:00:00"/>
        <d v="2022-08-11T00:00:00"/>
        <d v="2023-04-26T00:00:00"/>
        <d v="2022-12-19T00:00:00"/>
        <d v="2025-01-23T00:00:00"/>
        <d v="2023-08-30T00:00:00"/>
        <d v="2023-05-20T00:00:00"/>
        <d v="2023-12-29T00:00:00"/>
        <d v="2023-01-01T00:00:00"/>
        <d v="2023-02-25T00:00:00"/>
        <d v="2022-11-30T00:00:00"/>
        <d v="2025-01-31T00:00:00"/>
        <d v="2024-09-18T00:00:00"/>
      </sharedItems>
      <fieldGroup par="10"/>
    </cacheField>
    <cacheField name="Purchase_Amount" numFmtId="164">
      <sharedItems containsSemiMixedTypes="0" containsString="0" containsNumber="1" containsInteger="1" minValue="109" maxValue="19970"/>
    </cacheField>
    <cacheField name="Product_Category" numFmtId="0">
      <sharedItems count="6">
        <s v="Grocery"/>
        <s v="Furniture"/>
        <s v="Books"/>
        <s v="Clothing"/>
        <s v="Toys"/>
        <s v="Electronics"/>
      </sharedItems>
    </cacheField>
    <cacheField name="Rating" numFmtId="0">
      <sharedItems containsSemiMixedTypes="0" containsString="0" containsNumber="1" minValue="1" maxValue="5" count="41">
        <n v="2.6"/>
        <n v="4.5999999999999996"/>
        <n v="1.4"/>
        <n v="2.9"/>
        <n v="4.7"/>
        <n v="4.5"/>
        <n v="1.7"/>
        <n v="3.8"/>
        <n v="3.2"/>
        <n v="1.9"/>
        <n v="4.0999999999999996"/>
        <n v="3.6"/>
        <n v="2.1"/>
        <n v="1.3"/>
        <n v="1.6"/>
        <n v="2.2000000000000002"/>
        <n v="3"/>
        <n v="2.7"/>
        <n v="3.5"/>
        <n v="3.1"/>
        <n v="4.8"/>
        <n v="2.4"/>
        <n v="3.4"/>
        <n v="1.1000000000000001"/>
        <n v="4.9000000000000004"/>
        <n v="1.8"/>
        <n v="3.7"/>
        <n v="3.9"/>
        <n v="4.4000000000000004"/>
        <n v="1"/>
        <n v="2.2999999999999998"/>
        <n v="3.3"/>
        <n v="4.2"/>
        <n v="1.5"/>
        <n v="2.8"/>
        <n v="4"/>
        <n v="4.3"/>
        <n v="1.2"/>
        <n v="2.5"/>
        <n v="2"/>
        <n v="5"/>
      </sharedItems>
    </cacheField>
    <cacheField name="Meses (Join_Date)" numFmtId="0" databaseField="0">
      <fieldGroup base="5">
        <rangePr groupBy="months" startDate="2022-05-20T00:00:00" endDate="2025-05-19T00:00:00"/>
        <groupItems count="14">
          <s v="&lt;20/05/2022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9/05/2025"/>
        </groupItems>
      </fieldGroup>
    </cacheField>
    <cacheField name="Años (Join_Date)" numFmtId="0" databaseField="0">
      <fieldGroup base="5">
        <rangePr groupBy="years" startDate="2022-05-20T00:00:00" endDate="2025-05-19T00:00:00"/>
        <groupItems count="6">
          <s v="&lt;20/05/2022"/>
          <s v="2022"/>
          <s v="2023"/>
          <s v="2024"/>
          <s v="2025"/>
          <s v="&gt;19/05/2025"/>
        </groupItems>
      </fieldGroup>
    </cacheField>
  </cacheFields>
  <extLst>
    <ext xmlns:x14="http://schemas.microsoft.com/office/spreadsheetml/2009/9/main" uri="{725AE2AE-9491-48be-B2B4-4EB974FC3084}">
      <x14:pivotCacheDefinition pivotCacheId="435664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4">
  <r>
    <n v="490"/>
    <x v="0"/>
    <x v="0"/>
    <x v="0"/>
    <x v="0"/>
    <x v="0"/>
    <n v="7883"/>
    <x v="0"/>
    <x v="0"/>
  </r>
  <r>
    <n v="430"/>
    <x v="1"/>
    <x v="1"/>
    <x v="0"/>
    <x v="1"/>
    <x v="1"/>
    <n v="19196"/>
    <x v="1"/>
    <x v="1"/>
  </r>
  <r>
    <n v="83"/>
    <x v="2"/>
    <x v="2"/>
    <x v="1"/>
    <x v="1"/>
    <x v="2"/>
    <n v="17412"/>
    <x v="2"/>
    <x v="2"/>
  </r>
  <r>
    <n v="121"/>
    <x v="3"/>
    <x v="3"/>
    <x v="0"/>
    <x v="1"/>
    <x v="3"/>
    <n v="6142"/>
    <x v="0"/>
    <x v="3"/>
  </r>
  <r>
    <n v="222"/>
    <x v="4"/>
    <x v="4"/>
    <x v="0"/>
    <x v="2"/>
    <x v="4"/>
    <n v="6369"/>
    <x v="1"/>
    <x v="4"/>
  </r>
  <r>
    <n v="148"/>
    <x v="5"/>
    <x v="5"/>
    <x v="0"/>
    <x v="3"/>
    <x v="5"/>
    <n v="18117"/>
    <x v="1"/>
    <x v="5"/>
  </r>
  <r>
    <n v="33"/>
    <x v="6"/>
    <x v="6"/>
    <x v="0"/>
    <x v="3"/>
    <x v="6"/>
    <n v="11274"/>
    <x v="3"/>
    <x v="6"/>
  </r>
  <r>
    <n v="386"/>
    <x v="7"/>
    <x v="5"/>
    <x v="1"/>
    <x v="3"/>
    <x v="7"/>
    <n v="1442"/>
    <x v="1"/>
    <x v="7"/>
  </r>
  <r>
    <n v="201"/>
    <x v="8"/>
    <x v="7"/>
    <x v="1"/>
    <x v="0"/>
    <x v="8"/>
    <n v="9621"/>
    <x v="2"/>
    <x v="8"/>
  </r>
  <r>
    <n v="482"/>
    <x v="9"/>
    <x v="8"/>
    <x v="1"/>
    <x v="3"/>
    <x v="9"/>
    <n v="11497"/>
    <x v="2"/>
    <x v="8"/>
  </r>
  <r>
    <n v="296"/>
    <x v="10"/>
    <x v="9"/>
    <x v="0"/>
    <x v="3"/>
    <x v="10"/>
    <n v="12872"/>
    <x v="1"/>
    <x v="9"/>
  </r>
  <r>
    <n v="262"/>
    <x v="11"/>
    <x v="10"/>
    <x v="1"/>
    <x v="1"/>
    <x v="11"/>
    <n v="4532"/>
    <x v="1"/>
    <x v="10"/>
  </r>
  <r>
    <n v="434"/>
    <x v="12"/>
    <x v="11"/>
    <x v="1"/>
    <x v="4"/>
    <x v="12"/>
    <n v="12890"/>
    <x v="4"/>
    <x v="11"/>
  </r>
  <r>
    <n v="475"/>
    <x v="13"/>
    <x v="12"/>
    <x v="1"/>
    <x v="3"/>
    <x v="13"/>
    <n v="893"/>
    <x v="0"/>
    <x v="2"/>
  </r>
  <r>
    <n v="460"/>
    <x v="14"/>
    <x v="13"/>
    <x v="0"/>
    <x v="4"/>
    <x v="14"/>
    <n v="11204"/>
    <x v="0"/>
    <x v="12"/>
  </r>
  <r>
    <n v="458"/>
    <x v="15"/>
    <x v="14"/>
    <x v="0"/>
    <x v="0"/>
    <x v="15"/>
    <n v="14046"/>
    <x v="4"/>
    <x v="13"/>
  </r>
  <r>
    <n v="356"/>
    <x v="16"/>
    <x v="15"/>
    <x v="1"/>
    <x v="2"/>
    <x v="16"/>
    <n v="11054"/>
    <x v="1"/>
    <x v="14"/>
  </r>
  <r>
    <n v="467"/>
    <x v="17"/>
    <x v="16"/>
    <x v="0"/>
    <x v="2"/>
    <x v="17"/>
    <n v="18855"/>
    <x v="0"/>
    <x v="3"/>
  </r>
  <r>
    <n v="116"/>
    <x v="18"/>
    <x v="6"/>
    <x v="1"/>
    <x v="5"/>
    <x v="18"/>
    <n v="19229"/>
    <x v="1"/>
    <x v="15"/>
  </r>
  <r>
    <n v="404"/>
    <x v="19"/>
    <x v="13"/>
    <x v="0"/>
    <x v="3"/>
    <x v="19"/>
    <n v="8262"/>
    <x v="2"/>
    <x v="16"/>
  </r>
  <r>
    <n v="14"/>
    <x v="20"/>
    <x v="3"/>
    <x v="1"/>
    <x v="4"/>
    <x v="20"/>
    <n v="798"/>
    <x v="1"/>
    <x v="5"/>
  </r>
  <r>
    <n v="275"/>
    <x v="21"/>
    <x v="17"/>
    <x v="1"/>
    <x v="0"/>
    <x v="21"/>
    <n v="16848"/>
    <x v="1"/>
    <x v="17"/>
  </r>
  <r>
    <n v="309"/>
    <x v="22"/>
    <x v="18"/>
    <x v="1"/>
    <x v="0"/>
    <x v="22"/>
    <n v="9895"/>
    <x v="0"/>
    <x v="14"/>
  </r>
  <r>
    <n v="337"/>
    <x v="23"/>
    <x v="19"/>
    <x v="0"/>
    <x v="4"/>
    <x v="23"/>
    <n v="14018"/>
    <x v="4"/>
    <x v="16"/>
  </r>
  <r>
    <n v="498"/>
    <x v="24"/>
    <x v="3"/>
    <x v="1"/>
    <x v="4"/>
    <x v="24"/>
    <n v="13735"/>
    <x v="2"/>
    <x v="18"/>
  </r>
  <r>
    <n v="133"/>
    <x v="25"/>
    <x v="4"/>
    <x v="1"/>
    <x v="5"/>
    <x v="25"/>
    <n v="4904"/>
    <x v="1"/>
    <x v="19"/>
  </r>
  <r>
    <n v="376"/>
    <x v="26"/>
    <x v="11"/>
    <x v="0"/>
    <x v="0"/>
    <x v="26"/>
    <n v="13077"/>
    <x v="1"/>
    <x v="10"/>
  </r>
  <r>
    <n v="260"/>
    <x v="27"/>
    <x v="17"/>
    <x v="0"/>
    <x v="4"/>
    <x v="27"/>
    <n v="12494"/>
    <x v="0"/>
    <x v="16"/>
  </r>
  <r>
    <n v="269"/>
    <x v="28"/>
    <x v="20"/>
    <x v="1"/>
    <x v="2"/>
    <x v="28"/>
    <n v="13113"/>
    <x v="3"/>
    <x v="12"/>
  </r>
  <r>
    <n v="279"/>
    <x v="6"/>
    <x v="21"/>
    <x v="1"/>
    <x v="1"/>
    <x v="29"/>
    <n v="13723"/>
    <x v="0"/>
    <x v="20"/>
  </r>
  <r>
    <n v="497"/>
    <x v="29"/>
    <x v="4"/>
    <x v="0"/>
    <x v="2"/>
    <x v="30"/>
    <n v="15443"/>
    <x v="4"/>
    <x v="2"/>
  </r>
  <r>
    <n v="302"/>
    <x v="30"/>
    <x v="11"/>
    <x v="1"/>
    <x v="2"/>
    <x v="31"/>
    <n v="16609"/>
    <x v="1"/>
    <x v="5"/>
  </r>
  <r>
    <n v="147"/>
    <x v="31"/>
    <x v="3"/>
    <x v="1"/>
    <x v="5"/>
    <x v="32"/>
    <n v="13872"/>
    <x v="3"/>
    <x v="1"/>
  </r>
  <r>
    <n v="26"/>
    <x v="32"/>
    <x v="22"/>
    <x v="0"/>
    <x v="3"/>
    <x v="33"/>
    <n v="8435"/>
    <x v="1"/>
    <x v="21"/>
  </r>
  <r>
    <n v="485"/>
    <x v="33"/>
    <x v="22"/>
    <x v="0"/>
    <x v="2"/>
    <x v="34"/>
    <n v="16829"/>
    <x v="5"/>
    <x v="19"/>
  </r>
  <r>
    <n v="314"/>
    <x v="34"/>
    <x v="3"/>
    <x v="0"/>
    <x v="5"/>
    <x v="35"/>
    <n v="14469"/>
    <x v="3"/>
    <x v="22"/>
  </r>
  <r>
    <n v="247"/>
    <x v="35"/>
    <x v="4"/>
    <x v="0"/>
    <x v="1"/>
    <x v="36"/>
    <n v="13816"/>
    <x v="3"/>
    <x v="23"/>
  </r>
  <r>
    <n v="347"/>
    <x v="36"/>
    <x v="23"/>
    <x v="0"/>
    <x v="3"/>
    <x v="37"/>
    <n v="14143"/>
    <x v="2"/>
    <x v="11"/>
  </r>
  <r>
    <n v="223"/>
    <x v="37"/>
    <x v="2"/>
    <x v="0"/>
    <x v="3"/>
    <x v="38"/>
    <n v="3918"/>
    <x v="4"/>
    <x v="24"/>
  </r>
  <r>
    <n v="419"/>
    <x v="38"/>
    <x v="11"/>
    <x v="1"/>
    <x v="5"/>
    <x v="39"/>
    <n v="18620"/>
    <x v="1"/>
    <x v="12"/>
  </r>
  <r>
    <n v="52"/>
    <x v="39"/>
    <x v="17"/>
    <x v="1"/>
    <x v="5"/>
    <x v="40"/>
    <n v="19165"/>
    <x v="3"/>
    <x v="25"/>
  </r>
  <r>
    <n v="259"/>
    <x v="40"/>
    <x v="24"/>
    <x v="0"/>
    <x v="0"/>
    <x v="41"/>
    <n v="10578"/>
    <x v="1"/>
    <x v="18"/>
  </r>
  <r>
    <n v="428"/>
    <x v="41"/>
    <x v="17"/>
    <x v="0"/>
    <x v="3"/>
    <x v="42"/>
    <n v="18674"/>
    <x v="3"/>
    <x v="24"/>
  </r>
  <r>
    <n v="41"/>
    <x v="42"/>
    <x v="21"/>
    <x v="0"/>
    <x v="5"/>
    <x v="43"/>
    <n v="6831"/>
    <x v="0"/>
    <x v="26"/>
  </r>
  <r>
    <n v="90"/>
    <x v="43"/>
    <x v="25"/>
    <x v="0"/>
    <x v="5"/>
    <x v="44"/>
    <n v="1952"/>
    <x v="1"/>
    <x v="27"/>
  </r>
  <r>
    <n v="207"/>
    <x v="20"/>
    <x v="8"/>
    <x v="0"/>
    <x v="4"/>
    <x v="45"/>
    <n v="4737"/>
    <x v="1"/>
    <x v="28"/>
  </r>
  <r>
    <n v="240"/>
    <x v="28"/>
    <x v="15"/>
    <x v="1"/>
    <x v="4"/>
    <x v="46"/>
    <n v="4288"/>
    <x v="0"/>
    <x v="8"/>
  </r>
  <r>
    <n v="483"/>
    <x v="44"/>
    <x v="18"/>
    <x v="1"/>
    <x v="0"/>
    <x v="47"/>
    <n v="13099"/>
    <x v="3"/>
    <x v="29"/>
  </r>
  <r>
    <n v="239"/>
    <x v="45"/>
    <x v="2"/>
    <x v="0"/>
    <x v="2"/>
    <x v="48"/>
    <n v="766"/>
    <x v="1"/>
    <x v="30"/>
  </r>
  <r>
    <n v="480"/>
    <x v="46"/>
    <x v="2"/>
    <x v="0"/>
    <x v="4"/>
    <x v="49"/>
    <n v="11211"/>
    <x v="0"/>
    <x v="18"/>
  </r>
  <r>
    <n v="311"/>
    <x v="47"/>
    <x v="23"/>
    <x v="0"/>
    <x v="5"/>
    <x v="50"/>
    <n v="8358"/>
    <x v="3"/>
    <x v="9"/>
  </r>
  <r>
    <n v="4"/>
    <x v="37"/>
    <x v="24"/>
    <x v="1"/>
    <x v="0"/>
    <x v="51"/>
    <n v="10618"/>
    <x v="2"/>
    <x v="17"/>
  </r>
  <r>
    <n v="180"/>
    <x v="45"/>
    <x v="19"/>
    <x v="1"/>
    <x v="0"/>
    <x v="52"/>
    <n v="10457"/>
    <x v="4"/>
    <x v="16"/>
  </r>
  <r>
    <n v="249"/>
    <x v="48"/>
    <x v="26"/>
    <x v="1"/>
    <x v="1"/>
    <x v="53"/>
    <n v="6476"/>
    <x v="1"/>
    <x v="23"/>
  </r>
  <r>
    <n v="66"/>
    <x v="49"/>
    <x v="16"/>
    <x v="1"/>
    <x v="2"/>
    <x v="54"/>
    <n v="5401"/>
    <x v="5"/>
    <x v="14"/>
  </r>
  <r>
    <n v="139"/>
    <x v="50"/>
    <x v="27"/>
    <x v="1"/>
    <x v="1"/>
    <x v="55"/>
    <n v="1115"/>
    <x v="1"/>
    <x v="31"/>
  </r>
  <r>
    <n v="437"/>
    <x v="51"/>
    <x v="16"/>
    <x v="0"/>
    <x v="3"/>
    <x v="56"/>
    <n v="4118"/>
    <x v="2"/>
    <x v="3"/>
  </r>
  <r>
    <n v="114"/>
    <x v="52"/>
    <x v="13"/>
    <x v="1"/>
    <x v="0"/>
    <x v="57"/>
    <n v="13759"/>
    <x v="5"/>
    <x v="8"/>
  </r>
  <r>
    <n v="469"/>
    <x v="53"/>
    <x v="23"/>
    <x v="1"/>
    <x v="4"/>
    <x v="58"/>
    <n v="3856"/>
    <x v="3"/>
    <x v="15"/>
  </r>
  <r>
    <n v="169"/>
    <x v="54"/>
    <x v="6"/>
    <x v="0"/>
    <x v="4"/>
    <x v="59"/>
    <n v="12438"/>
    <x v="5"/>
    <x v="3"/>
  </r>
  <r>
    <n v="102"/>
    <x v="55"/>
    <x v="24"/>
    <x v="1"/>
    <x v="3"/>
    <x v="60"/>
    <n v="11929"/>
    <x v="3"/>
    <x v="6"/>
  </r>
  <r>
    <n v="373"/>
    <x v="6"/>
    <x v="3"/>
    <x v="0"/>
    <x v="1"/>
    <x v="61"/>
    <n v="7088"/>
    <x v="0"/>
    <x v="16"/>
  </r>
  <r>
    <n v="214"/>
    <x v="56"/>
    <x v="28"/>
    <x v="1"/>
    <x v="0"/>
    <x v="62"/>
    <n v="16621"/>
    <x v="4"/>
    <x v="7"/>
  </r>
  <r>
    <n v="406"/>
    <x v="57"/>
    <x v="29"/>
    <x v="1"/>
    <x v="5"/>
    <x v="63"/>
    <n v="5515"/>
    <x v="5"/>
    <x v="26"/>
  </r>
  <r>
    <n v="341"/>
    <x v="58"/>
    <x v="30"/>
    <x v="1"/>
    <x v="5"/>
    <x v="64"/>
    <n v="4424"/>
    <x v="4"/>
    <x v="21"/>
  </r>
  <r>
    <n v="461"/>
    <x v="59"/>
    <x v="30"/>
    <x v="0"/>
    <x v="2"/>
    <x v="65"/>
    <n v="13529"/>
    <x v="4"/>
    <x v="32"/>
  </r>
  <r>
    <n v="338"/>
    <x v="35"/>
    <x v="12"/>
    <x v="1"/>
    <x v="3"/>
    <x v="66"/>
    <n v="13146"/>
    <x v="0"/>
    <x v="3"/>
  </r>
  <r>
    <n v="452"/>
    <x v="60"/>
    <x v="3"/>
    <x v="1"/>
    <x v="0"/>
    <x v="67"/>
    <n v="17434"/>
    <x v="4"/>
    <x v="33"/>
  </r>
  <r>
    <n v="194"/>
    <x v="61"/>
    <x v="12"/>
    <x v="0"/>
    <x v="5"/>
    <x v="68"/>
    <n v="7096"/>
    <x v="4"/>
    <x v="21"/>
  </r>
  <r>
    <n v="61"/>
    <x v="26"/>
    <x v="12"/>
    <x v="1"/>
    <x v="3"/>
    <x v="69"/>
    <n v="3241"/>
    <x v="5"/>
    <x v="34"/>
  </r>
  <r>
    <n v="417"/>
    <x v="62"/>
    <x v="21"/>
    <x v="1"/>
    <x v="0"/>
    <x v="70"/>
    <n v="14160"/>
    <x v="3"/>
    <x v="26"/>
  </r>
  <r>
    <n v="315"/>
    <x v="63"/>
    <x v="18"/>
    <x v="0"/>
    <x v="5"/>
    <x v="71"/>
    <n v="13010"/>
    <x v="3"/>
    <x v="31"/>
  </r>
  <r>
    <n v="119"/>
    <x v="17"/>
    <x v="13"/>
    <x v="0"/>
    <x v="4"/>
    <x v="72"/>
    <n v="5064"/>
    <x v="5"/>
    <x v="14"/>
  </r>
  <r>
    <n v="370"/>
    <x v="64"/>
    <x v="5"/>
    <x v="0"/>
    <x v="2"/>
    <x v="73"/>
    <n v="9865"/>
    <x v="3"/>
    <x v="18"/>
  </r>
  <r>
    <n v="426"/>
    <x v="39"/>
    <x v="31"/>
    <x v="1"/>
    <x v="5"/>
    <x v="74"/>
    <n v="6084"/>
    <x v="0"/>
    <x v="0"/>
  </r>
  <r>
    <n v="110"/>
    <x v="23"/>
    <x v="10"/>
    <x v="0"/>
    <x v="4"/>
    <x v="75"/>
    <n v="11075"/>
    <x v="0"/>
    <x v="22"/>
  </r>
  <r>
    <n v="348"/>
    <x v="19"/>
    <x v="22"/>
    <x v="0"/>
    <x v="2"/>
    <x v="76"/>
    <n v="8937"/>
    <x v="0"/>
    <x v="28"/>
  </r>
  <r>
    <n v="450"/>
    <x v="65"/>
    <x v="32"/>
    <x v="1"/>
    <x v="4"/>
    <x v="77"/>
    <n v="1220"/>
    <x v="3"/>
    <x v="32"/>
  </r>
  <r>
    <n v="362"/>
    <x v="66"/>
    <x v="9"/>
    <x v="1"/>
    <x v="3"/>
    <x v="78"/>
    <n v="16708"/>
    <x v="0"/>
    <x v="30"/>
  </r>
  <r>
    <n v="91"/>
    <x v="67"/>
    <x v="24"/>
    <x v="1"/>
    <x v="0"/>
    <x v="79"/>
    <n v="5010"/>
    <x v="4"/>
    <x v="28"/>
  </r>
  <r>
    <n v="156"/>
    <x v="68"/>
    <x v="22"/>
    <x v="1"/>
    <x v="0"/>
    <x v="80"/>
    <n v="12863"/>
    <x v="3"/>
    <x v="19"/>
  </r>
  <r>
    <n v="264"/>
    <x v="69"/>
    <x v="23"/>
    <x v="1"/>
    <x v="0"/>
    <x v="81"/>
    <n v="14278"/>
    <x v="2"/>
    <x v="17"/>
  </r>
  <r>
    <n v="307"/>
    <x v="50"/>
    <x v="33"/>
    <x v="0"/>
    <x v="2"/>
    <x v="82"/>
    <n v="11575"/>
    <x v="1"/>
    <x v="35"/>
  </r>
  <r>
    <n v="31"/>
    <x v="70"/>
    <x v="27"/>
    <x v="0"/>
    <x v="4"/>
    <x v="83"/>
    <n v="1162"/>
    <x v="2"/>
    <x v="34"/>
  </r>
  <r>
    <n v="23"/>
    <x v="16"/>
    <x v="30"/>
    <x v="0"/>
    <x v="0"/>
    <x v="84"/>
    <n v="17201"/>
    <x v="4"/>
    <x v="0"/>
  </r>
  <r>
    <n v="306"/>
    <x v="9"/>
    <x v="25"/>
    <x v="1"/>
    <x v="3"/>
    <x v="85"/>
    <n v="3696"/>
    <x v="3"/>
    <x v="0"/>
  </r>
  <r>
    <n v="32"/>
    <x v="71"/>
    <x v="28"/>
    <x v="0"/>
    <x v="2"/>
    <x v="86"/>
    <n v="18640"/>
    <x v="1"/>
    <x v="14"/>
  </r>
  <r>
    <n v="238"/>
    <x v="72"/>
    <x v="23"/>
    <x v="0"/>
    <x v="5"/>
    <x v="87"/>
    <n v="3366"/>
    <x v="0"/>
    <x v="13"/>
  </r>
  <r>
    <n v="327"/>
    <x v="73"/>
    <x v="16"/>
    <x v="1"/>
    <x v="5"/>
    <x v="88"/>
    <n v="17360"/>
    <x v="3"/>
    <x v="0"/>
  </r>
  <r>
    <n v="53"/>
    <x v="74"/>
    <x v="10"/>
    <x v="0"/>
    <x v="3"/>
    <x v="89"/>
    <n v="18024"/>
    <x v="5"/>
    <x v="1"/>
  </r>
  <r>
    <n v="491"/>
    <x v="19"/>
    <x v="3"/>
    <x v="0"/>
    <x v="0"/>
    <x v="90"/>
    <n v="11573"/>
    <x v="2"/>
    <x v="33"/>
  </r>
  <r>
    <n v="165"/>
    <x v="75"/>
    <x v="34"/>
    <x v="0"/>
    <x v="1"/>
    <x v="91"/>
    <n v="13556"/>
    <x v="4"/>
    <x v="21"/>
  </r>
  <r>
    <n v="217"/>
    <x v="76"/>
    <x v="35"/>
    <x v="0"/>
    <x v="2"/>
    <x v="92"/>
    <n v="4264"/>
    <x v="4"/>
    <x v="31"/>
  </r>
  <r>
    <n v="163"/>
    <x v="77"/>
    <x v="28"/>
    <x v="0"/>
    <x v="5"/>
    <x v="93"/>
    <n v="11016"/>
    <x v="2"/>
    <x v="0"/>
  </r>
  <r>
    <n v="366"/>
    <x v="78"/>
    <x v="36"/>
    <x v="1"/>
    <x v="0"/>
    <x v="94"/>
    <n v="2148"/>
    <x v="5"/>
    <x v="36"/>
  </r>
  <r>
    <n v="57"/>
    <x v="79"/>
    <x v="5"/>
    <x v="0"/>
    <x v="0"/>
    <x v="95"/>
    <n v="8791"/>
    <x v="3"/>
    <x v="3"/>
  </r>
  <r>
    <n v="471"/>
    <x v="80"/>
    <x v="25"/>
    <x v="1"/>
    <x v="3"/>
    <x v="96"/>
    <n v="16578"/>
    <x v="0"/>
    <x v="28"/>
  </r>
  <r>
    <n v="3"/>
    <x v="81"/>
    <x v="27"/>
    <x v="0"/>
    <x v="3"/>
    <x v="97"/>
    <n v="5744"/>
    <x v="5"/>
    <x v="22"/>
  </r>
  <r>
    <n v="59"/>
    <x v="75"/>
    <x v="18"/>
    <x v="1"/>
    <x v="1"/>
    <x v="98"/>
    <n v="4412"/>
    <x v="0"/>
    <x v="13"/>
  </r>
  <r>
    <n v="372"/>
    <x v="82"/>
    <x v="27"/>
    <x v="1"/>
    <x v="3"/>
    <x v="99"/>
    <n v="2017"/>
    <x v="5"/>
    <x v="18"/>
  </r>
  <r>
    <n v="241"/>
    <x v="48"/>
    <x v="12"/>
    <x v="0"/>
    <x v="1"/>
    <x v="100"/>
    <n v="17155"/>
    <x v="3"/>
    <x v="32"/>
  </r>
  <r>
    <n v="268"/>
    <x v="83"/>
    <x v="18"/>
    <x v="0"/>
    <x v="1"/>
    <x v="23"/>
    <n v="155"/>
    <x v="4"/>
    <x v="21"/>
  </r>
  <r>
    <n v="500"/>
    <x v="84"/>
    <x v="4"/>
    <x v="0"/>
    <x v="1"/>
    <x v="101"/>
    <n v="226"/>
    <x v="3"/>
    <x v="23"/>
  </r>
  <r>
    <n v="75"/>
    <x v="85"/>
    <x v="3"/>
    <x v="0"/>
    <x v="5"/>
    <x v="102"/>
    <n v="19556"/>
    <x v="4"/>
    <x v="14"/>
  </r>
  <r>
    <n v="331"/>
    <x v="86"/>
    <x v="4"/>
    <x v="0"/>
    <x v="4"/>
    <x v="103"/>
    <n v="18217"/>
    <x v="2"/>
    <x v="16"/>
  </r>
  <r>
    <n v="477"/>
    <x v="87"/>
    <x v="12"/>
    <x v="1"/>
    <x v="4"/>
    <x v="104"/>
    <n v="5879"/>
    <x v="0"/>
    <x v="24"/>
  </r>
  <r>
    <n v="422"/>
    <x v="46"/>
    <x v="14"/>
    <x v="0"/>
    <x v="1"/>
    <x v="105"/>
    <n v="7043"/>
    <x v="1"/>
    <x v="17"/>
  </r>
  <r>
    <n v="278"/>
    <x v="69"/>
    <x v="30"/>
    <x v="1"/>
    <x v="5"/>
    <x v="106"/>
    <n v="15134"/>
    <x v="0"/>
    <x v="9"/>
  </r>
  <r>
    <n v="81"/>
    <x v="3"/>
    <x v="13"/>
    <x v="0"/>
    <x v="1"/>
    <x v="107"/>
    <n v="1631"/>
    <x v="4"/>
    <x v="26"/>
  </r>
  <r>
    <n v="243"/>
    <x v="88"/>
    <x v="13"/>
    <x v="0"/>
    <x v="2"/>
    <x v="108"/>
    <n v="11414"/>
    <x v="5"/>
    <x v="18"/>
  </r>
  <r>
    <n v="203"/>
    <x v="89"/>
    <x v="11"/>
    <x v="1"/>
    <x v="1"/>
    <x v="103"/>
    <n v="7041"/>
    <x v="3"/>
    <x v="27"/>
  </r>
  <r>
    <n v="213"/>
    <x v="90"/>
    <x v="18"/>
    <x v="0"/>
    <x v="0"/>
    <x v="109"/>
    <n v="7143"/>
    <x v="0"/>
    <x v="37"/>
  </r>
  <r>
    <n v="282"/>
    <x v="91"/>
    <x v="24"/>
    <x v="0"/>
    <x v="5"/>
    <x v="110"/>
    <n v="18130"/>
    <x v="0"/>
    <x v="17"/>
  </r>
  <r>
    <n v="354"/>
    <x v="92"/>
    <x v="13"/>
    <x v="1"/>
    <x v="5"/>
    <x v="111"/>
    <n v="5660"/>
    <x v="2"/>
    <x v="18"/>
  </r>
  <r>
    <n v="365"/>
    <x v="17"/>
    <x v="37"/>
    <x v="1"/>
    <x v="0"/>
    <x v="112"/>
    <n v="6383"/>
    <x v="1"/>
    <x v="36"/>
  </r>
  <r>
    <n v="146"/>
    <x v="0"/>
    <x v="33"/>
    <x v="0"/>
    <x v="0"/>
    <x v="113"/>
    <n v="7038"/>
    <x v="4"/>
    <x v="33"/>
  </r>
  <r>
    <n v="421"/>
    <x v="75"/>
    <x v="3"/>
    <x v="0"/>
    <x v="0"/>
    <x v="114"/>
    <n v="9610"/>
    <x v="1"/>
    <x v="14"/>
  </r>
  <r>
    <n v="109"/>
    <x v="93"/>
    <x v="23"/>
    <x v="1"/>
    <x v="3"/>
    <x v="115"/>
    <n v="1453"/>
    <x v="3"/>
    <x v="38"/>
  </r>
  <r>
    <n v="51"/>
    <x v="34"/>
    <x v="3"/>
    <x v="1"/>
    <x v="0"/>
    <x v="116"/>
    <n v="6413"/>
    <x v="3"/>
    <x v="35"/>
  </r>
  <r>
    <n v="436"/>
    <x v="94"/>
    <x v="9"/>
    <x v="0"/>
    <x v="0"/>
    <x v="117"/>
    <n v="3787"/>
    <x v="2"/>
    <x v="5"/>
  </r>
  <r>
    <n v="15"/>
    <x v="95"/>
    <x v="3"/>
    <x v="0"/>
    <x v="5"/>
    <x v="118"/>
    <n v="7286"/>
    <x v="2"/>
    <x v="19"/>
  </r>
  <r>
    <n v="465"/>
    <x v="14"/>
    <x v="38"/>
    <x v="1"/>
    <x v="3"/>
    <x v="119"/>
    <n v="3328"/>
    <x v="3"/>
    <x v="13"/>
  </r>
  <r>
    <n v="391"/>
    <x v="65"/>
    <x v="33"/>
    <x v="1"/>
    <x v="5"/>
    <x v="120"/>
    <n v="14331"/>
    <x v="0"/>
    <x v="31"/>
  </r>
  <r>
    <n v="115"/>
    <x v="96"/>
    <x v="23"/>
    <x v="0"/>
    <x v="2"/>
    <x v="121"/>
    <n v="3819"/>
    <x v="0"/>
    <x v="17"/>
  </r>
  <r>
    <n v="244"/>
    <x v="97"/>
    <x v="14"/>
    <x v="1"/>
    <x v="0"/>
    <x v="122"/>
    <n v="12991"/>
    <x v="3"/>
    <x v="5"/>
  </r>
  <r>
    <n v="174"/>
    <x v="98"/>
    <x v="4"/>
    <x v="1"/>
    <x v="4"/>
    <x v="123"/>
    <n v="10115"/>
    <x v="3"/>
    <x v="23"/>
  </r>
  <r>
    <n v="99"/>
    <x v="99"/>
    <x v="33"/>
    <x v="1"/>
    <x v="3"/>
    <x v="124"/>
    <n v="5745"/>
    <x v="3"/>
    <x v="13"/>
  </r>
  <r>
    <n v="160"/>
    <x v="100"/>
    <x v="32"/>
    <x v="0"/>
    <x v="5"/>
    <x v="95"/>
    <n v="15206"/>
    <x v="4"/>
    <x v="13"/>
  </r>
  <r>
    <n v="250"/>
    <x v="101"/>
    <x v="23"/>
    <x v="0"/>
    <x v="3"/>
    <x v="125"/>
    <n v="17007"/>
    <x v="2"/>
    <x v="5"/>
  </r>
  <r>
    <n v="42"/>
    <x v="102"/>
    <x v="0"/>
    <x v="1"/>
    <x v="3"/>
    <x v="126"/>
    <n v="15468"/>
    <x v="5"/>
    <x v="6"/>
  </r>
  <r>
    <n v="271"/>
    <x v="103"/>
    <x v="19"/>
    <x v="1"/>
    <x v="3"/>
    <x v="127"/>
    <n v="8250"/>
    <x v="4"/>
    <x v="9"/>
  </r>
  <r>
    <n v="205"/>
    <x v="34"/>
    <x v="34"/>
    <x v="1"/>
    <x v="3"/>
    <x v="122"/>
    <n v="17815"/>
    <x v="0"/>
    <x v="11"/>
  </r>
  <r>
    <n v="218"/>
    <x v="104"/>
    <x v="12"/>
    <x v="1"/>
    <x v="1"/>
    <x v="128"/>
    <n v="8041"/>
    <x v="0"/>
    <x v="4"/>
  </r>
  <r>
    <n v="80"/>
    <x v="74"/>
    <x v="27"/>
    <x v="0"/>
    <x v="1"/>
    <x v="12"/>
    <n v="1314"/>
    <x v="2"/>
    <x v="9"/>
  </r>
  <r>
    <n v="29"/>
    <x v="105"/>
    <x v="33"/>
    <x v="0"/>
    <x v="2"/>
    <x v="129"/>
    <n v="7751"/>
    <x v="5"/>
    <x v="34"/>
  </r>
  <r>
    <n v="345"/>
    <x v="106"/>
    <x v="5"/>
    <x v="1"/>
    <x v="2"/>
    <x v="130"/>
    <n v="16489"/>
    <x v="0"/>
    <x v="5"/>
  </r>
  <r>
    <n v="364"/>
    <x v="107"/>
    <x v="4"/>
    <x v="1"/>
    <x v="0"/>
    <x v="131"/>
    <n v="4308"/>
    <x v="3"/>
    <x v="14"/>
  </r>
  <r>
    <n v="257"/>
    <x v="42"/>
    <x v="3"/>
    <x v="0"/>
    <x v="3"/>
    <x v="132"/>
    <n v="5340"/>
    <x v="1"/>
    <x v="0"/>
  </r>
  <r>
    <n v="466"/>
    <x v="28"/>
    <x v="14"/>
    <x v="1"/>
    <x v="3"/>
    <x v="133"/>
    <n v="14482"/>
    <x v="4"/>
    <x v="0"/>
  </r>
  <r>
    <n v="58"/>
    <x v="92"/>
    <x v="39"/>
    <x v="1"/>
    <x v="5"/>
    <x v="134"/>
    <n v="7594"/>
    <x v="0"/>
    <x v="31"/>
  </r>
  <r>
    <n v="427"/>
    <x v="108"/>
    <x v="29"/>
    <x v="0"/>
    <x v="1"/>
    <x v="110"/>
    <n v="4770"/>
    <x v="3"/>
    <x v="12"/>
  </r>
  <r>
    <n v="63"/>
    <x v="109"/>
    <x v="40"/>
    <x v="1"/>
    <x v="5"/>
    <x v="135"/>
    <n v="1910"/>
    <x v="3"/>
    <x v="34"/>
  </r>
  <r>
    <n v="388"/>
    <x v="67"/>
    <x v="35"/>
    <x v="0"/>
    <x v="0"/>
    <x v="136"/>
    <n v="19316"/>
    <x v="2"/>
    <x v="15"/>
  </r>
  <r>
    <n v="112"/>
    <x v="110"/>
    <x v="32"/>
    <x v="0"/>
    <x v="3"/>
    <x v="137"/>
    <n v="767"/>
    <x v="4"/>
    <x v="18"/>
  </r>
  <r>
    <n v="85"/>
    <x v="111"/>
    <x v="3"/>
    <x v="1"/>
    <x v="1"/>
    <x v="138"/>
    <n v="13528"/>
    <x v="2"/>
    <x v="6"/>
  </r>
  <r>
    <n v="237"/>
    <x v="112"/>
    <x v="5"/>
    <x v="1"/>
    <x v="3"/>
    <x v="139"/>
    <n v="18371"/>
    <x v="4"/>
    <x v="27"/>
  </r>
  <r>
    <n v="272"/>
    <x v="113"/>
    <x v="23"/>
    <x v="1"/>
    <x v="2"/>
    <x v="140"/>
    <n v="2225"/>
    <x v="0"/>
    <x v="37"/>
  </r>
  <r>
    <n v="343"/>
    <x v="15"/>
    <x v="29"/>
    <x v="0"/>
    <x v="2"/>
    <x v="141"/>
    <n v="9211"/>
    <x v="5"/>
    <x v="31"/>
  </r>
  <r>
    <n v="228"/>
    <x v="114"/>
    <x v="20"/>
    <x v="0"/>
    <x v="1"/>
    <x v="142"/>
    <n v="17244"/>
    <x v="5"/>
    <x v="30"/>
  </r>
  <r>
    <n v="130"/>
    <x v="8"/>
    <x v="38"/>
    <x v="1"/>
    <x v="1"/>
    <x v="143"/>
    <n v="12777"/>
    <x v="2"/>
    <x v="14"/>
  </r>
  <r>
    <n v="166"/>
    <x v="19"/>
    <x v="24"/>
    <x v="0"/>
    <x v="4"/>
    <x v="144"/>
    <n v="15544"/>
    <x v="0"/>
    <x v="27"/>
  </r>
  <r>
    <n v="97"/>
    <x v="115"/>
    <x v="29"/>
    <x v="1"/>
    <x v="4"/>
    <x v="145"/>
    <n v="17740"/>
    <x v="1"/>
    <x v="1"/>
  </r>
  <r>
    <n v="489"/>
    <x v="35"/>
    <x v="6"/>
    <x v="0"/>
    <x v="2"/>
    <x v="146"/>
    <n v="10480"/>
    <x v="1"/>
    <x v="16"/>
  </r>
  <r>
    <n v="297"/>
    <x v="70"/>
    <x v="31"/>
    <x v="1"/>
    <x v="3"/>
    <x v="147"/>
    <n v="10367"/>
    <x v="2"/>
    <x v="6"/>
  </r>
  <r>
    <n v="142"/>
    <x v="116"/>
    <x v="3"/>
    <x v="1"/>
    <x v="4"/>
    <x v="148"/>
    <n v="13650"/>
    <x v="5"/>
    <x v="11"/>
  </r>
  <r>
    <n v="464"/>
    <x v="12"/>
    <x v="18"/>
    <x v="1"/>
    <x v="0"/>
    <x v="149"/>
    <n v="7963"/>
    <x v="1"/>
    <x v="29"/>
  </r>
  <r>
    <n v="188"/>
    <x v="24"/>
    <x v="6"/>
    <x v="0"/>
    <x v="2"/>
    <x v="150"/>
    <n v="10140"/>
    <x v="5"/>
    <x v="39"/>
  </r>
  <r>
    <n v="369"/>
    <x v="117"/>
    <x v="36"/>
    <x v="1"/>
    <x v="5"/>
    <x v="102"/>
    <n v="12707"/>
    <x v="4"/>
    <x v="12"/>
  </r>
  <r>
    <n v="221"/>
    <x v="90"/>
    <x v="41"/>
    <x v="1"/>
    <x v="2"/>
    <x v="151"/>
    <n v="4400"/>
    <x v="1"/>
    <x v="15"/>
  </r>
  <r>
    <n v="229"/>
    <x v="56"/>
    <x v="3"/>
    <x v="1"/>
    <x v="4"/>
    <x v="119"/>
    <n v="7450"/>
    <x v="1"/>
    <x v="36"/>
  </r>
  <r>
    <n v="323"/>
    <x v="43"/>
    <x v="28"/>
    <x v="0"/>
    <x v="0"/>
    <x v="152"/>
    <n v="15779"/>
    <x v="5"/>
    <x v="32"/>
  </r>
  <r>
    <n v="396"/>
    <x v="6"/>
    <x v="0"/>
    <x v="1"/>
    <x v="2"/>
    <x v="153"/>
    <n v="12319"/>
    <x v="4"/>
    <x v="24"/>
  </r>
  <r>
    <n v="360"/>
    <x v="118"/>
    <x v="27"/>
    <x v="0"/>
    <x v="4"/>
    <x v="154"/>
    <n v="6569"/>
    <x v="0"/>
    <x v="36"/>
  </r>
  <r>
    <n v="82"/>
    <x v="119"/>
    <x v="22"/>
    <x v="1"/>
    <x v="3"/>
    <x v="155"/>
    <n v="923"/>
    <x v="4"/>
    <x v="23"/>
  </r>
  <r>
    <n v="355"/>
    <x v="49"/>
    <x v="24"/>
    <x v="0"/>
    <x v="0"/>
    <x v="156"/>
    <n v="946"/>
    <x v="3"/>
    <x v="35"/>
  </r>
  <r>
    <n v="322"/>
    <x v="66"/>
    <x v="30"/>
    <x v="0"/>
    <x v="5"/>
    <x v="157"/>
    <n v="19223"/>
    <x v="2"/>
    <x v="28"/>
  </r>
  <r>
    <n v="67"/>
    <x v="120"/>
    <x v="27"/>
    <x v="1"/>
    <x v="4"/>
    <x v="158"/>
    <n v="15585"/>
    <x v="3"/>
    <x v="6"/>
  </r>
  <r>
    <n v="435"/>
    <x v="121"/>
    <x v="17"/>
    <x v="0"/>
    <x v="4"/>
    <x v="159"/>
    <n v="18481"/>
    <x v="2"/>
    <x v="38"/>
  </r>
  <r>
    <n v="415"/>
    <x v="64"/>
    <x v="36"/>
    <x v="1"/>
    <x v="3"/>
    <x v="160"/>
    <n v="7677"/>
    <x v="4"/>
    <x v="9"/>
  </r>
  <r>
    <n v="189"/>
    <x v="85"/>
    <x v="4"/>
    <x v="0"/>
    <x v="4"/>
    <x v="125"/>
    <n v="19298"/>
    <x v="4"/>
    <x v="36"/>
  </r>
  <r>
    <n v="335"/>
    <x v="122"/>
    <x v="3"/>
    <x v="1"/>
    <x v="2"/>
    <x v="161"/>
    <n v="11713"/>
    <x v="2"/>
    <x v="13"/>
  </r>
  <r>
    <n v="54"/>
    <x v="123"/>
    <x v="39"/>
    <x v="1"/>
    <x v="3"/>
    <x v="162"/>
    <n v="13907"/>
    <x v="2"/>
    <x v="25"/>
  </r>
  <r>
    <n v="172"/>
    <x v="50"/>
    <x v="3"/>
    <x v="1"/>
    <x v="0"/>
    <x v="163"/>
    <n v="5076"/>
    <x v="2"/>
    <x v="27"/>
  </r>
  <r>
    <n v="385"/>
    <x v="7"/>
    <x v="38"/>
    <x v="0"/>
    <x v="4"/>
    <x v="16"/>
    <n v="8612"/>
    <x v="2"/>
    <x v="4"/>
  </r>
  <r>
    <n v="140"/>
    <x v="124"/>
    <x v="18"/>
    <x v="1"/>
    <x v="4"/>
    <x v="164"/>
    <n v="2293"/>
    <x v="5"/>
    <x v="12"/>
  </r>
  <r>
    <n v="274"/>
    <x v="64"/>
    <x v="26"/>
    <x v="0"/>
    <x v="1"/>
    <x v="165"/>
    <n v="15845"/>
    <x v="2"/>
    <x v="40"/>
  </r>
  <r>
    <n v="285"/>
    <x v="79"/>
    <x v="25"/>
    <x v="1"/>
    <x v="1"/>
    <x v="166"/>
    <n v="5970"/>
    <x v="4"/>
    <x v="3"/>
  </r>
  <r>
    <n v="439"/>
    <x v="125"/>
    <x v="35"/>
    <x v="0"/>
    <x v="0"/>
    <x v="167"/>
    <n v="2070"/>
    <x v="5"/>
    <x v="6"/>
  </r>
  <r>
    <n v="295"/>
    <x v="3"/>
    <x v="32"/>
    <x v="0"/>
    <x v="1"/>
    <x v="168"/>
    <n v="5850"/>
    <x v="2"/>
    <x v="6"/>
  </r>
  <r>
    <n v="233"/>
    <x v="126"/>
    <x v="22"/>
    <x v="1"/>
    <x v="3"/>
    <x v="169"/>
    <n v="11737"/>
    <x v="5"/>
    <x v="33"/>
  </r>
  <r>
    <n v="100"/>
    <x v="127"/>
    <x v="2"/>
    <x v="1"/>
    <x v="2"/>
    <x v="170"/>
    <n v="19970"/>
    <x v="5"/>
    <x v="25"/>
  </r>
  <r>
    <n v="284"/>
    <x v="43"/>
    <x v="28"/>
    <x v="0"/>
    <x v="0"/>
    <x v="162"/>
    <n v="19281"/>
    <x v="1"/>
    <x v="20"/>
  </r>
  <r>
    <n v="149"/>
    <x v="53"/>
    <x v="34"/>
    <x v="1"/>
    <x v="1"/>
    <x v="171"/>
    <n v="10444"/>
    <x v="2"/>
    <x v="22"/>
  </r>
  <r>
    <n v="164"/>
    <x v="128"/>
    <x v="29"/>
    <x v="0"/>
    <x v="2"/>
    <x v="31"/>
    <n v="4909"/>
    <x v="0"/>
    <x v="15"/>
  </r>
  <r>
    <n v="290"/>
    <x v="33"/>
    <x v="1"/>
    <x v="0"/>
    <x v="0"/>
    <x v="172"/>
    <n v="6982"/>
    <x v="2"/>
    <x v="20"/>
  </r>
  <r>
    <n v="47"/>
    <x v="129"/>
    <x v="2"/>
    <x v="1"/>
    <x v="2"/>
    <x v="173"/>
    <n v="11593"/>
    <x v="1"/>
    <x v="40"/>
  </r>
  <r>
    <n v="87"/>
    <x v="23"/>
    <x v="24"/>
    <x v="0"/>
    <x v="1"/>
    <x v="174"/>
    <n v="2205"/>
    <x v="3"/>
    <x v="39"/>
  </r>
  <r>
    <n v="38"/>
    <x v="17"/>
    <x v="20"/>
    <x v="1"/>
    <x v="5"/>
    <x v="150"/>
    <n v="4430"/>
    <x v="4"/>
    <x v="31"/>
  </r>
  <r>
    <n v="423"/>
    <x v="39"/>
    <x v="15"/>
    <x v="1"/>
    <x v="0"/>
    <x v="175"/>
    <n v="12054"/>
    <x v="3"/>
    <x v="20"/>
  </r>
  <r>
    <n v="371"/>
    <x v="109"/>
    <x v="34"/>
    <x v="1"/>
    <x v="1"/>
    <x v="176"/>
    <n v="1928"/>
    <x v="1"/>
    <x v="24"/>
  </r>
  <r>
    <n v="425"/>
    <x v="130"/>
    <x v="12"/>
    <x v="0"/>
    <x v="4"/>
    <x v="177"/>
    <n v="6665"/>
    <x v="2"/>
    <x v="11"/>
  </r>
  <r>
    <n v="446"/>
    <x v="19"/>
    <x v="15"/>
    <x v="0"/>
    <x v="3"/>
    <x v="178"/>
    <n v="1022"/>
    <x v="0"/>
    <x v="33"/>
  </r>
  <r>
    <n v="294"/>
    <x v="131"/>
    <x v="32"/>
    <x v="0"/>
    <x v="2"/>
    <x v="179"/>
    <n v="8252"/>
    <x v="3"/>
    <x v="9"/>
  </r>
  <r>
    <n v="173"/>
    <x v="132"/>
    <x v="27"/>
    <x v="1"/>
    <x v="5"/>
    <x v="180"/>
    <n v="12875"/>
    <x v="5"/>
    <x v="9"/>
  </r>
  <r>
    <n v="74"/>
    <x v="19"/>
    <x v="20"/>
    <x v="0"/>
    <x v="0"/>
    <x v="181"/>
    <n v="10250"/>
    <x v="4"/>
    <x v="23"/>
  </r>
  <r>
    <n v="281"/>
    <x v="68"/>
    <x v="41"/>
    <x v="0"/>
    <x v="1"/>
    <x v="171"/>
    <n v="5222"/>
    <x v="4"/>
    <x v="2"/>
  </r>
  <r>
    <n v="105"/>
    <x v="133"/>
    <x v="30"/>
    <x v="0"/>
    <x v="0"/>
    <x v="182"/>
    <n v="19187"/>
    <x v="1"/>
    <x v="1"/>
  </r>
  <r>
    <n v="358"/>
    <x v="43"/>
    <x v="14"/>
    <x v="0"/>
    <x v="1"/>
    <x v="183"/>
    <n v="15485"/>
    <x v="2"/>
    <x v="5"/>
  </r>
  <r>
    <n v="254"/>
    <x v="34"/>
    <x v="41"/>
    <x v="0"/>
    <x v="5"/>
    <x v="184"/>
    <n v="14224"/>
    <x v="5"/>
    <x v="40"/>
  </r>
  <r>
    <n v="17"/>
    <x v="134"/>
    <x v="19"/>
    <x v="0"/>
    <x v="5"/>
    <x v="185"/>
    <n v="14023"/>
    <x v="1"/>
    <x v="0"/>
  </r>
  <r>
    <n v="447"/>
    <x v="43"/>
    <x v="19"/>
    <x v="0"/>
    <x v="1"/>
    <x v="186"/>
    <n v="519"/>
    <x v="0"/>
    <x v="23"/>
  </r>
  <r>
    <n v="92"/>
    <x v="20"/>
    <x v="3"/>
    <x v="1"/>
    <x v="0"/>
    <x v="187"/>
    <n v="11103"/>
    <x v="0"/>
    <x v="36"/>
  </r>
  <r>
    <n v="89"/>
    <x v="135"/>
    <x v="8"/>
    <x v="1"/>
    <x v="1"/>
    <x v="188"/>
    <n v="13072"/>
    <x v="1"/>
    <x v="39"/>
  </r>
  <r>
    <n v="387"/>
    <x v="38"/>
    <x v="1"/>
    <x v="0"/>
    <x v="5"/>
    <x v="189"/>
    <n v="10668"/>
    <x v="2"/>
    <x v="13"/>
  </r>
  <r>
    <n v="141"/>
    <x v="136"/>
    <x v="17"/>
    <x v="0"/>
    <x v="4"/>
    <x v="190"/>
    <n v="8515"/>
    <x v="2"/>
    <x v="8"/>
  </r>
  <r>
    <n v="195"/>
    <x v="71"/>
    <x v="4"/>
    <x v="1"/>
    <x v="4"/>
    <x v="191"/>
    <n v="12273"/>
    <x v="1"/>
    <x v="2"/>
  </r>
  <r>
    <n v="206"/>
    <x v="91"/>
    <x v="36"/>
    <x v="0"/>
    <x v="3"/>
    <x v="192"/>
    <n v="9650"/>
    <x v="1"/>
    <x v="7"/>
  </r>
  <r>
    <n v="103"/>
    <x v="6"/>
    <x v="14"/>
    <x v="1"/>
    <x v="5"/>
    <x v="193"/>
    <n v="8153"/>
    <x v="1"/>
    <x v="31"/>
  </r>
  <r>
    <n v="265"/>
    <x v="87"/>
    <x v="22"/>
    <x v="1"/>
    <x v="1"/>
    <x v="194"/>
    <n v="17760"/>
    <x v="0"/>
    <x v="35"/>
  </r>
  <r>
    <n v="175"/>
    <x v="83"/>
    <x v="4"/>
    <x v="0"/>
    <x v="2"/>
    <x v="195"/>
    <n v="3519"/>
    <x v="3"/>
    <x v="39"/>
  </r>
  <r>
    <n v="171"/>
    <x v="137"/>
    <x v="3"/>
    <x v="1"/>
    <x v="4"/>
    <x v="196"/>
    <n v="4644"/>
    <x v="5"/>
    <x v="16"/>
  </r>
  <r>
    <n v="389"/>
    <x v="75"/>
    <x v="25"/>
    <x v="0"/>
    <x v="0"/>
    <x v="197"/>
    <n v="19308"/>
    <x v="1"/>
    <x v="7"/>
  </r>
  <r>
    <n v="158"/>
    <x v="19"/>
    <x v="30"/>
    <x v="0"/>
    <x v="4"/>
    <x v="198"/>
    <n v="9960"/>
    <x v="3"/>
    <x v="6"/>
  </r>
  <r>
    <n v="71"/>
    <x v="0"/>
    <x v="10"/>
    <x v="1"/>
    <x v="3"/>
    <x v="120"/>
    <n v="3809"/>
    <x v="0"/>
    <x v="12"/>
  </r>
  <r>
    <n v="134"/>
    <x v="138"/>
    <x v="39"/>
    <x v="0"/>
    <x v="2"/>
    <x v="199"/>
    <n v="18322"/>
    <x v="2"/>
    <x v="6"/>
  </r>
  <r>
    <n v="455"/>
    <x v="139"/>
    <x v="30"/>
    <x v="1"/>
    <x v="0"/>
    <x v="200"/>
    <n v="2343"/>
    <x v="5"/>
    <x v="17"/>
  </r>
  <r>
    <n v="379"/>
    <x v="0"/>
    <x v="34"/>
    <x v="0"/>
    <x v="1"/>
    <x v="201"/>
    <n v="9965"/>
    <x v="5"/>
    <x v="8"/>
  </r>
  <r>
    <n v="363"/>
    <x v="23"/>
    <x v="19"/>
    <x v="1"/>
    <x v="1"/>
    <x v="202"/>
    <n v="12919"/>
    <x v="2"/>
    <x v="35"/>
  </r>
  <r>
    <n v="246"/>
    <x v="42"/>
    <x v="6"/>
    <x v="0"/>
    <x v="5"/>
    <x v="203"/>
    <n v="4000"/>
    <x v="1"/>
    <x v="9"/>
  </r>
  <r>
    <n v="470"/>
    <x v="140"/>
    <x v="37"/>
    <x v="0"/>
    <x v="5"/>
    <x v="204"/>
    <n v="15870"/>
    <x v="3"/>
    <x v="7"/>
  </r>
  <r>
    <n v="432"/>
    <x v="141"/>
    <x v="37"/>
    <x v="1"/>
    <x v="0"/>
    <x v="205"/>
    <n v="1348"/>
    <x v="5"/>
    <x v="9"/>
  </r>
  <r>
    <n v="353"/>
    <x v="44"/>
    <x v="41"/>
    <x v="1"/>
    <x v="2"/>
    <x v="206"/>
    <n v="13334"/>
    <x v="4"/>
    <x v="26"/>
  </r>
  <r>
    <n v="245"/>
    <x v="14"/>
    <x v="11"/>
    <x v="1"/>
    <x v="5"/>
    <x v="94"/>
    <n v="4877"/>
    <x v="3"/>
    <x v="18"/>
  </r>
  <r>
    <n v="19"/>
    <x v="49"/>
    <x v="1"/>
    <x v="0"/>
    <x v="4"/>
    <x v="207"/>
    <n v="7500"/>
    <x v="3"/>
    <x v="30"/>
  </r>
  <r>
    <n v="178"/>
    <x v="1"/>
    <x v="14"/>
    <x v="0"/>
    <x v="2"/>
    <x v="208"/>
    <n v="14589"/>
    <x v="1"/>
    <x v="16"/>
  </r>
  <r>
    <n v="410"/>
    <x v="142"/>
    <x v="28"/>
    <x v="1"/>
    <x v="5"/>
    <x v="209"/>
    <n v="8107"/>
    <x v="5"/>
    <x v="17"/>
  </r>
  <r>
    <n v="21"/>
    <x v="50"/>
    <x v="19"/>
    <x v="0"/>
    <x v="5"/>
    <x v="210"/>
    <n v="4460"/>
    <x v="4"/>
    <x v="29"/>
  </r>
  <r>
    <n v="56"/>
    <x v="3"/>
    <x v="34"/>
    <x v="0"/>
    <x v="3"/>
    <x v="105"/>
    <n v="17849"/>
    <x v="3"/>
    <x v="23"/>
  </r>
  <r>
    <n v="320"/>
    <x v="6"/>
    <x v="4"/>
    <x v="0"/>
    <x v="2"/>
    <x v="211"/>
    <n v="16013"/>
    <x v="1"/>
    <x v="1"/>
  </r>
  <r>
    <n v="462"/>
    <x v="53"/>
    <x v="10"/>
    <x v="0"/>
    <x v="1"/>
    <x v="212"/>
    <n v="6471"/>
    <x v="1"/>
    <x v="15"/>
  </r>
  <r>
    <n v="368"/>
    <x v="6"/>
    <x v="36"/>
    <x v="1"/>
    <x v="0"/>
    <x v="213"/>
    <n v="13041"/>
    <x v="2"/>
    <x v="16"/>
  </r>
  <r>
    <n v="35"/>
    <x v="141"/>
    <x v="31"/>
    <x v="0"/>
    <x v="2"/>
    <x v="214"/>
    <n v="9448"/>
    <x v="2"/>
    <x v="17"/>
  </r>
  <r>
    <n v="182"/>
    <x v="64"/>
    <x v="6"/>
    <x v="1"/>
    <x v="5"/>
    <x v="168"/>
    <n v="4463"/>
    <x v="3"/>
    <x v="2"/>
  </r>
  <r>
    <n v="151"/>
    <x v="87"/>
    <x v="33"/>
    <x v="0"/>
    <x v="5"/>
    <x v="215"/>
    <n v="8802"/>
    <x v="2"/>
    <x v="26"/>
  </r>
  <r>
    <n v="208"/>
    <x v="65"/>
    <x v="15"/>
    <x v="0"/>
    <x v="5"/>
    <x v="216"/>
    <n v="4954"/>
    <x v="4"/>
    <x v="39"/>
  </r>
  <r>
    <n v="352"/>
    <x v="99"/>
    <x v="17"/>
    <x v="0"/>
    <x v="4"/>
    <x v="217"/>
    <n v="14409"/>
    <x v="2"/>
    <x v="7"/>
  </r>
  <r>
    <n v="377"/>
    <x v="20"/>
    <x v="29"/>
    <x v="1"/>
    <x v="5"/>
    <x v="218"/>
    <n v="109"/>
    <x v="4"/>
    <x v="2"/>
  </r>
  <r>
    <n v="303"/>
    <x v="45"/>
    <x v="35"/>
    <x v="0"/>
    <x v="2"/>
    <x v="219"/>
    <n v="15247"/>
    <x v="1"/>
    <x v="4"/>
  </r>
  <r>
    <n v="236"/>
    <x v="43"/>
    <x v="1"/>
    <x v="0"/>
    <x v="0"/>
    <x v="220"/>
    <n v="8572"/>
    <x v="5"/>
    <x v="21"/>
  </r>
  <r>
    <n v="405"/>
    <x v="66"/>
    <x v="15"/>
    <x v="0"/>
    <x v="2"/>
    <x v="221"/>
    <n v="19044"/>
    <x v="5"/>
    <x v="10"/>
  </r>
  <r>
    <n v="442"/>
    <x v="85"/>
    <x v="11"/>
    <x v="1"/>
    <x v="3"/>
    <x v="222"/>
    <n v="15474"/>
    <x v="3"/>
    <x v="10"/>
  </r>
  <r>
    <n v="155"/>
    <x v="143"/>
    <x v="33"/>
    <x v="0"/>
    <x v="4"/>
    <x v="223"/>
    <n v="15258"/>
    <x v="5"/>
    <x v="38"/>
  </r>
  <r>
    <n v="123"/>
    <x v="46"/>
    <x v="29"/>
    <x v="1"/>
    <x v="1"/>
    <x v="224"/>
    <n v="7412"/>
    <x v="0"/>
    <x v="32"/>
  </r>
  <r>
    <n v="339"/>
    <x v="144"/>
    <x v="25"/>
    <x v="1"/>
    <x v="1"/>
    <x v="225"/>
    <n v="2690"/>
    <x v="4"/>
    <x v="22"/>
  </r>
  <r>
    <n v="79"/>
    <x v="145"/>
    <x v="18"/>
    <x v="1"/>
    <x v="3"/>
    <x v="83"/>
    <n v="604"/>
    <x v="1"/>
    <x v="9"/>
  </r>
  <r>
    <n v="62"/>
    <x v="76"/>
    <x v="9"/>
    <x v="0"/>
    <x v="0"/>
    <x v="226"/>
    <n v="19970"/>
    <x v="3"/>
    <x v="19"/>
  </r>
  <r>
    <n v="476"/>
    <x v="146"/>
    <x v="40"/>
    <x v="0"/>
    <x v="5"/>
    <x v="227"/>
    <n v="2216"/>
    <x v="4"/>
    <x v="39"/>
  </r>
  <r>
    <n v="126"/>
    <x v="147"/>
    <x v="27"/>
    <x v="0"/>
    <x v="2"/>
    <x v="228"/>
    <n v="2879"/>
    <x v="3"/>
    <x v="12"/>
  </r>
  <r>
    <n v="319"/>
    <x v="22"/>
    <x v="31"/>
    <x v="0"/>
    <x v="3"/>
    <x v="229"/>
    <n v="6838"/>
    <x v="4"/>
    <x v="33"/>
  </r>
  <r>
    <n v="317"/>
    <x v="82"/>
    <x v="23"/>
    <x v="0"/>
    <x v="0"/>
    <x v="230"/>
    <n v="12299"/>
    <x v="0"/>
    <x v="5"/>
  </r>
  <r>
    <n v="496"/>
    <x v="148"/>
    <x v="29"/>
    <x v="0"/>
    <x v="3"/>
    <x v="188"/>
    <n v="4551"/>
    <x v="5"/>
    <x v="6"/>
  </r>
  <r>
    <n v="431"/>
    <x v="145"/>
    <x v="6"/>
    <x v="0"/>
    <x v="4"/>
    <x v="231"/>
    <n v="2292"/>
    <x v="5"/>
    <x v="9"/>
  </r>
  <r>
    <n v="451"/>
    <x v="149"/>
    <x v="41"/>
    <x v="1"/>
    <x v="1"/>
    <x v="232"/>
    <n v="11360"/>
    <x v="3"/>
    <x v="3"/>
  </r>
  <r>
    <n v="418"/>
    <x v="60"/>
    <x v="33"/>
    <x v="0"/>
    <x v="4"/>
    <x v="233"/>
    <n v="17549"/>
    <x v="3"/>
    <x v="11"/>
  </r>
  <r>
    <n v="25"/>
    <x v="150"/>
    <x v="36"/>
    <x v="0"/>
    <x v="2"/>
    <x v="234"/>
    <n v="5586"/>
    <x v="5"/>
    <x v="4"/>
  </r>
  <r>
    <n v="329"/>
    <x v="151"/>
    <x v="10"/>
    <x v="1"/>
    <x v="2"/>
    <x v="235"/>
    <n v="3912"/>
    <x v="3"/>
    <x v="39"/>
  </r>
  <r>
    <n v="440"/>
    <x v="152"/>
    <x v="4"/>
    <x v="1"/>
    <x v="3"/>
    <x v="35"/>
    <n v="8489"/>
    <x v="5"/>
    <x v="5"/>
  </r>
  <r>
    <n v="127"/>
    <x v="153"/>
    <x v="27"/>
    <x v="0"/>
    <x v="1"/>
    <x v="236"/>
    <n v="17408"/>
    <x v="3"/>
    <x v="8"/>
  </r>
  <r>
    <n v="424"/>
    <x v="154"/>
    <x v="12"/>
    <x v="1"/>
    <x v="2"/>
    <x v="7"/>
    <n v="7904"/>
    <x v="0"/>
    <x v="17"/>
  </r>
  <r>
    <n v="328"/>
    <x v="155"/>
    <x v="28"/>
    <x v="0"/>
    <x v="0"/>
    <x v="237"/>
    <n v="14377"/>
    <x v="5"/>
    <x v="38"/>
  </r>
  <r>
    <n v="179"/>
    <x v="156"/>
    <x v="29"/>
    <x v="1"/>
    <x v="0"/>
    <x v="238"/>
    <n v="16733"/>
    <x v="4"/>
    <x v="22"/>
  </r>
  <r>
    <n v="444"/>
    <x v="157"/>
    <x v="15"/>
    <x v="1"/>
    <x v="4"/>
    <x v="126"/>
    <n v="5508"/>
    <x v="2"/>
    <x v="35"/>
  </r>
  <r>
    <n v="381"/>
    <x v="23"/>
    <x v="1"/>
    <x v="1"/>
    <x v="3"/>
    <x v="27"/>
    <n v="7141"/>
    <x v="3"/>
    <x v="21"/>
  </r>
  <r>
    <n v="224"/>
    <x v="75"/>
    <x v="26"/>
    <x v="0"/>
    <x v="2"/>
    <x v="239"/>
    <n v="12115"/>
    <x v="4"/>
    <x v="20"/>
  </r>
  <r>
    <n v="359"/>
    <x v="158"/>
    <x v="37"/>
    <x v="1"/>
    <x v="4"/>
    <x v="178"/>
    <n v="13846"/>
    <x v="2"/>
    <x v="23"/>
  </r>
  <r>
    <n v="94"/>
    <x v="159"/>
    <x v="30"/>
    <x v="0"/>
    <x v="5"/>
    <x v="240"/>
    <n v="11804"/>
    <x v="2"/>
    <x v="26"/>
  </r>
  <r>
    <n v="70"/>
    <x v="160"/>
    <x v="37"/>
    <x v="0"/>
    <x v="4"/>
    <x v="241"/>
    <n v="9535"/>
    <x v="0"/>
    <x v="38"/>
  </r>
  <r>
    <n v="37"/>
    <x v="26"/>
    <x v="29"/>
    <x v="1"/>
    <x v="0"/>
    <x v="195"/>
    <n v="9024"/>
    <x v="2"/>
    <x v="21"/>
  </r>
  <r>
    <n v="161"/>
    <x v="23"/>
    <x v="38"/>
    <x v="1"/>
    <x v="4"/>
    <x v="78"/>
    <n v="17944"/>
    <x v="0"/>
    <x v="22"/>
  </r>
  <r>
    <n v="12"/>
    <x v="65"/>
    <x v="17"/>
    <x v="0"/>
    <x v="4"/>
    <x v="242"/>
    <n v="828"/>
    <x v="1"/>
    <x v="33"/>
  </r>
  <r>
    <n v="145"/>
    <x v="161"/>
    <x v="36"/>
    <x v="1"/>
    <x v="2"/>
    <x v="243"/>
    <n v="7070"/>
    <x v="2"/>
    <x v="29"/>
  </r>
  <r>
    <n v="361"/>
    <x v="157"/>
    <x v="33"/>
    <x v="0"/>
    <x v="5"/>
    <x v="244"/>
    <n v="9433"/>
    <x v="5"/>
    <x v="33"/>
  </r>
  <r>
    <n v="448"/>
    <x v="100"/>
    <x v="33"/>
    <x v="1"/>
    <x v="4"/>
    <x v="245"/>
    <n v="18688"/>
    <x v="3"/>
    <x v="4"/>
  </r>
  <r>
    <n v="10"/>
    <x v="133"/>
    <x v="8"/>
    <x v="1"/>
    <x v="1"/>
    <x v="246"/>
    <n v="8887"/>
    <x v="4"/>
    <x v="24"/>
  </r>
  <r>
    <n v="382"/>
    <x v="162"/>
    <x v="23"/>
    <x v="1"/>
    <x v="2"/>
    <x v="247"/>
    <n v="18544"/>
    <x v="1"/>
    <x v="18"/>
  </r>
  <r>
    <n v="177"/>
    <x v="69"/>
    <x v="26"/>
    <x v="1"/>
    <x v="4"/>
    <x v="248"/>
    <n v="7339"/>
    <x v="1"/>
    <x v="37"/>
  </r>
  <r>
    <n v="232"/>
    <x v="163"/>
    <x v="33"/>
    <x v="1"/>
    <x v="4"/>
    <x v="249"/>
    <n v="6190"/>
    <x v="4"/>
    <x v="9"/>
  </r>
  <r>
    <n v="211"/>
    <x v="7"/>
    <x v="34"/>
    <x v="0"/>
    <x v="1"/>
    <x v="250"/>
    <n v="18664"/>
    <x v="3"/>
    <x v="40"/>
  </r>
  <r>
    <n v="129"/>
    <x v="112"/>
    <x v="5"/>
    <x v="1"/>
    <x v="3"/>
    <x v="251"/>
    <n v="19808"/>
    <x v="5"/>
    <x v="39"/>
  </r>
  <r>
    <n v="144"/>
    <x v="40"/>
    <x v="2"/>
    <x v="1"/>
    <x v="0"/>
    <x v="252"/>
    <n v="4258"/>
    <x v="4"/>
    <x v="25"/>
  </r>
  <r>
    <n v="242"/>
    <x v="35"/>
    <x v="19"/>
    <x v="0"/>
    <x v="2"/>
    <x v="253"/>
    <n v="10261"/>
    <x v="2"/>
    <x v="30"/>
  </r>
  <r>
    <n v="8"/>
    <x v="164"/>
    <x v="37"/>
    <x v="1"/>
    <x v="0"/>
    <x v="254"/>
    <n v="12244"/>
    <x v="2"/>
    <x v="34"/>
  </r>
  <r>
    <n v="299"/>
    <x v="6"/>
    <x v="30"/>
    <x v="1"/>
    <x v="5"/>
    <x v="255"/>
    <n v="18460"/>
    <x v="2"/>
    <x v="21"/>
  </r>
  <r>
    <n v="255"/>
    <x v="136"/>
    <x v="3"/>
    <x v="0"/>
    <x v="1"/>
    <x v="256"/>
    <n v="16382"/>
    <x v="2"/>
    <x v="21"/>
  </r>
  <r>
    <n v="378"/>
    <x v="165"/>
    <x v="39"/>
    <x v="1"/>
    <x v="1"/>
    <x v="257"/>
    <n v="16744"/>
    <x v="2"/>
    <x v="35"/>
  </r>
  <r>
    <n v="342"/>
    <x v="150"/>
    <x v="0"/>
    <x v="0"/>
    <x v="2"/>
    <x v="258"/>
    <n v="10887"/>
    <x v="1"/>
    <x v="26"/>
  </r>
  <r>
    <n v="9"/>
    <x v="166"/>
    <x v="8"/>
    <x v="0"/>
    <x v="0"/>
    <x v="259"/>
    <n v="14497"/>
    <x v="1"/>
    <x v="33"/>
  </r>
  <r>
    <n v="157"/>
    <x v="167"/>
    <x v="29"/>
    <x v="1"/>
    <x v="2"/>
    <x v="260"/>
    <n v="18484"/>
    <x v="1"/>
    <x v="37"/>
  </r>
  <r>
    <n v="28"/>
    <x v="23"/>
    <x v="5"/>
    <x v="1"/>
    <x v="1"/>
    <x v="261"/>
    <n v="11230"/>
    <x v="5"/>
    <x v="35"/>
  </r>
  <r>
    <n v="267"/>
    <x v="65"/>
    <x v="22"/>
    <x v="1"/>
    <x v="2"/>
    <x v="262"/>
    <n v="17122"/>
    <x v="2"/>
    <x v="2"/>
  </r>
  <r>
    <n v="65"/>
    <x v="17"/>
    <x v="21"/>
    <x v="0"/>
    <x v="2"/>
    <x v="263"/>
    <n v="19407"/>
    <x v="2"/>
    <x v="8"/>
  </r>
  <r>
    <n v="256"/>
    <x v="0"/>
    <x v="30"/>
    <x v="0"/>
    <x v="3"/>
    <x v="264"/>
    <n v="10588"/>
    <x v="5"/>
    <x v="10"/>
  </r>
  <r>
    <n v="325"/>
    <x v="40"/>
    <x v="22"/>
    <x v="1"/>
    <x v="3"/>
    <x v="265"/>
    <n v="10267"/>
    <x v="3"/>
    <x v="8"/>
  </r>
  <r>
    <n v="154"/>
    <x v="118"/>
    <x v="8"/>
    <x v="0"/>
    <x v="0"/>
    <x v="266"/>
    <n v="8275"/>
    <x v="4"/>
    <x v="17"/>
  </r>
  <r>
    <n v="49"/>
    <x v="35"/>
    <x v="23"/>
    <x v="0"/>
    <x v="1"/>
    <x v="267"/>
    <n v="14064"/>
    <x v="1"/>
    <x v="22"/>
  </r>
  <r>
    <n v="209"/>
    <x v="83"/>
    <x v="30"/>
    <x v="0"/>
    <x v="5"/>
    <x v="268"/>
    <n v="19661"/>
    <x v="3"/>
    <x v="16"/>
  </r>
  <r>
    <n v="288"/>
    <x v="16"/>
    <x v="36"/>
    <x v="1"/>
    <x v="5"/>
    <x v="269"/>
    <n v="19829"/>
    <x v="4"/>
    <x v="40"/>
  </r>
  <r>
    <n v="2"/>
    <x v="168"/>
    <x v="18"/>
    <x v="0"/>
    <x v="0"/>
    <x v="202"/>
    <n v="3540"/>
    <x v="4"/>
    <x v="31"/>
  </r>
  <r>
    <n v="270"/>
    <x v="91"/>
    <x v="20"/>
    <x v="1"/>
    <x v="5"/>
    <x v="270"/>
    <n v="8817"/>
    <x v="3"/>
    <x v="15"/>
  </r>
  <r>
    <n v="266"/>
    <x v="20"/>
    <x v="23"/>
    <x v="1"/>
    <x v="5"/>
    <x v="271"/>
    <n v="402"/>
    <x v="4"/>
    <x v="39"/>
  </r>
  <r>
    <n v="334"/>
    <x v="56"/>
    <x v="19"/>
    <x v="0"/>
    <x v="2"/>
    <x v="272"/>
    <n v="6867"/>
    <x v="3"/>
    <x v="26"/>
  </r>
  <r>
    <n v="96"/>
    <x v="169"/>
    <x v="5"/>
    <x v="0"/>
    <x v="5"/>
    <x v="273"/>
    <n v="6290"/>
    <x v="0"/>
    <x v="15"/>
  </r>
  <r>
    <n v="473"/>
    <x v="170"/>
    <x v="24"/>
    <x v="0"/>
    <x v="4"/>
    <x v="274"/>
    <n v="6998"/>
    <x v="3"/>
    <x v="37"/>
  </r>
  <r>
    <n v="305"/>
    <x v="31"/>
    <x v="23"/>
    <x v="0"/>
    <x v="2"/>
    <x v="5"/>
    <n v="6388"/>
    <x v="1"/>
    <x v="6"/>
  </r>
  <r>
    <n v="117"/>
    <x v="165"/>
    <x v="21"/>
    <x v="1"/>
    <x v="2"/>
    <x v="275"/>
    <n v="7583"/>
    <x v="1"/>
    <x v="20"/>
  </r>
  <r>
    <n v="46"/>
    <x v="76"/>
    <x v="33"/>
    <x v="0"/>
    <x v="0"/>
    <x v="185"/>
    <n v="11616"/>
    <x v="4"/>
    <x v="13"/>
  </r>
  <r>
    <n v="162"/>
    <x v="171"/>
    <x v="26"/>
    <x v="0"/>
    <x v="2"/>
    <x v="6"/>
    <n v="3736"/>
    <x v="0"/>
    <x v="39"/>
  </r>
  <r>
    <n v="499"/>
    <x v="75"/>
    <x v="37"/>
    <x v="1"/>
    <x v="3"/>
    <x v="276"/>
    <n v="6059"/>
    <x v="2"/>
    <x v="7"/>
  </r>
  <r>
    <n v="118"/>
    <x v="165"/>
    <x v="28"/>
    <x v="1"/>
    <x v="1"/>
    <x v="277"/>
    <n v="639"/>
    <x v="4"/>
    <x v="10"/>
  </r>
  <r>
    <n v="289"/>
    <x v="172"/>
    <x v="36"/>
    <x v="1"/>
    <x v="1"/>
    <x v="278"/>
    <n v="7773"/>
    <x v="1"/>
    <x v="9"/>
  </r>
  <r>
    <n v="78"/>
    <x v="173"/>
    <x v="26"/>
    <x v="0"/>
    <x v="3"/>
    <x v="279"/>
    <n v="14783"/>
    <x v="3"/>
    <x v="23"/>
  </r>
  <r>
    <n v="402"/>
    <x v="174"/>
    <x v="22"/>
    <x v="1"/>
    <x v="4"/>
    <x v="280"/>
    <n v="5356"/>
    <x v="4"/>
    <x v="23"/>
  </r>
  <r>
    <n v="64"/>
    <x v="175"/>
    <x v="17"/>
    <x v="1"/>
    <x v="2"/>
    <x v="281"/>
    <n v="6688"/>
    <x v="2"/>
    <x v="0"/>
  </r>
  <r>
    <n v="459"/>
    <x v="75"/>
    <x v="28"/>
    <x v="0"/>
    <x v="3"/>
    <x v="282"/>
    <n v="18349"/>
    <x v="1"/>
    <x v="31"/>
  </r>
  <r>
    <n v="397"/>
    <x v="42"/>
    <x v="14"/>
    <x v="1"/>
    <x v="1"/>
    <x v="283"/>
    <n v="335"/>
    <x v="4"/>
    <x v="24"/>
  </r>
  <r>
    <n v="231"/>
    <x v="176"/>
    <x v="8"/>
    <x v="1"/>
    <x v="0"/>
    <x v="284"/>
    <n v="6338"/>
    <x v="1"/>
    <x v="22"/>
  </r>
  <r>
    <n v="298"/>
    <x v="20"/>
    <x v="1"/>
    <x v="1"/>
    <x v="5"/>
    <x v="285"/>
    <n v="1162"/>
    <x v="3"/>
    <x v="10"/>
  </r>
  <r>
    <n v="187"/>
    <x v="177"/>
    <x v="37"/>
    <x v="0"/>
    <x v="0"/>
    <x v="286"/>
    <n v="4958"/>
    <x v="0"/>
    <x v="17"/>
  </r>
  <r>
    <n v="120"/>
    <x v="178"/>
    <x v="11"/>
    <x v="0"/>
    <x v="3"/>
    <x v="71"/>
    <n v="4935"/>
    <x v="3"/>
    <x v="5"/>
  </r>
  <r>
    <n v="200"/>
    <x v="164"/>
    <x v="25"/>
    <x v="0"/>
    <x v="0"/>
    <x v="287"/>
    <n v="7049"/>
    <x v="3"/>
    <x v="6"/>
  </r>
  <r>
    <n v="351"/>
    <x v="179"/>
    <x v="2"/>
    <x v="1"/>
    <x v="2"/>
    <x v="288"/>
    <n v="19035"/>
    <x v="4"/>
    <x v="36"/>
  </r>
  <r>
    <n v="122"/>
    <x v="103"/>
    <x v="21"/>
    <x v="0"/>
    <x v="5"/>
    <x v="289"/>
    <n v="14937"/>
    <x v="1"/>
    <x v="1"/>
  </r>
  <r>
    <n v="479"/>
    <x v="67"/>
    <x v="26"/>
    <x v="0"/>
    <x v="3"/>
    <x v="290"/>
    <n v="14253"/>
    <x v="5"/>
    <x v="16"/>
  </r>
  <r>
    <n v="443"/>
    <x v="180"/>
    <x v="39"/>
    <x v="0"/>
    <x v="0"/>
    <x v="71"/>
    <n v="5888"/>
    <x v="5"/>
    <x v="28"/>
  </r>
  <r>
    <n v="308"/>
    <x v="131"/>
    <x v="1"/>
    <x v="1"/>
    <x v="0"/>
    <x v="291"/>
    <n v="6268"/>
    <x v="1"/>
    <x v="7"/>
  </r>
  <r>
    <n v="472"/>
    <x v="0"/>
    <x v="12"/>
    <x v="1"/>
    <x v="3"/>
    <x v="292"/>
    <n v="2774"/>
    <x v="3"/>
    <x v="10"/>
  </r>
  <r>
    <n v="159"/>
    <x v="158"/>
    <x v="13"/>
    <x v="1"/>
    <x v="4"/>
    <x v="293"/>
    <n v="6089"/>
    <x v="5"/>
    <x v="16"/>
  </r>
  <r>
    <n v="86"/>
    <x v="156"/>
    <x v="13"/>
    <x v="1"/>
    <x v="1"/>
    <x v="294"/>
    <n v="16617"/>
    <x v="3"/>
    <x v="16"/>
  </r>
  <r>
    <n v="226"/>
    <x v="100"/>
    <x v="10"/>
    <x v="1"/>
    <x v="2"/>
    <x v="295"/>
    <n v="18390"/>
    <x v="4"/>
    <x v="28"/>
  </r>
  <r>
    <n v="263"/>
    <x v="181"/>
    <x v="41"/>
    <x v="0"/>
    <x v="0"/>
    <x v="296"/>
    <n v="13668"/>
    <x v="5"/>
    <x v="17"/>
  </r>
  <r>
    <n v="332"/>
    <x v="33"/>
    <x v="36"/>
    <x v="0"/>
    <x v="2"/>
    <x v="297"/>
    <n v="1705"/>
    <x v="5"/>
    <x v="13"/>
  </r>
  <r>
    <n v="411"/>
    <x v="150"/>
    <x v="14"/>
    <x v="0"/>
    <x v="1"/>
    <x v="274"/>
    <n v="9164"/>
    <x v="2"/>
    <x v="34"/>
  </r>
  <r>
    <n v="77"/>
    <x v="182"/>
    <x v="22"/>
    <x v="1"/>
    <x v="0"/>
    <x v="298"/>
    <n v="10288"/>
    <x v="3"/>
    <x v="11"/>
  </r>
  <r>
    <n v="398"/>
    <x v="6"/>
    <x v="13"/>
    <x v="1"/>
    <x v="0"/>
    <x v="17"/>
    <n v="10261"/>
    <x v="4"/>
    <x v="35"/>
  </r>
  <r>
    <n v="383"/>
    <x v="145"/>
    <x v="10"/>
    <x v="1"/>
    <x v="5"/>
    <x v="299"/>
    <n v="5387"/>
    <x v="0"/>
    <x v="4"/>
  </r>
  <r>
    <n v="88"/>
    <x v="79"/>
    <x v="3"/>
    <x v="1"/>
    <x v="3"/>
    <x v="300"/>
    <n v="3727"/>
    <x v="5"/>
    <x v="2"/>
  </r>
  <r>
    <n v="183"/>
    <x v="14"/>
    <x v="25"/>
    <x v="1"/>
    <x v="3"/>
    <x v="245"/>
    <n v="10276"/>
    <x v="0"/>
    <x v="13"/>
  </r>
  <r>
    <n v="409"/>
    <x v="81"/>
    <x v="18"/>
    <x v="0"/>
    <x v="4"/>
    <x v="301"/>
    <n v="6051"/>
    <x v="4"/>
    <x v="40"/>
  </r>
  <r>
    <n v="50"/>
    <x v="183"/>
    <x v="21"/>
    <x v="1"/>
    <x v="4"/>
    <x v="14"/>
    <n v="17675"/>
    <x v="3"/>
    <x v="13"/>
  </r>
  <r>
    <n v="390"/>
    <x v="40"/>
    <x v="35"/>
    <x v="1"/>
    <x v="2"/>
    <x v="302"/>
    <n v="18478"/>
    <x v="4"/>
    <x v="13"/>
  </r>
  <r>
    <n v="6"/>
    <x v="6"/>
    <x v="29"/>
    <x v="1"/>
    <x v="5"/>
    <x v="13"/>
    <n v="3014"/>
    <x v="4"/>
    <x v="4"/>
  </r>
  <r>
    <n v="18"/>
    <x v="184"/>
    <x v="3"/>
    <x v="1"/>
    <x v="3"/>
    <x v="303"/>
    <n v="16879"/>
    <x v="4"/>
    <x v="37"/>
  </r>
  <r>
    <n v="235"/>
    <x v="185"/>
    <x v="16"/>
    <x v="1"/>
    <x v="5"/>
    <x v="304"/>
    <n v="10011"/>
    <x v="5"/>
    <x v="7"/>
  </r>
  <r>
    <n v="413"/>
    <x v="186"/>
    <x v="15"/>
    <x v="0"/>
    <x v="3"/>
    <x v="36"/>
    <n v="19382"/>
    <x v="3"/>
    <x v="32"/>
  </r>
  <r>
    <n v="407"/>
    <x v="9"/>
    <x v="11"/>
    <x v="0"/>
    <x v="0"/>
    <x v="305"/>
    <n v="3491"/>
    <x v="0"/>
    <x v="34"/>
  </r>
  <r>
    <n v="107"/>
    <x v="66"/>
    <x v="3"/>
    <x v="0"/>
    <x v="0"/>
    <x v="2"/>
    <n v="7214"/>
    <x v="2"/>
    <x v="21"/>
  </r>
  <r>
    <n v="135"/>
    <x v="90"/>
    <x v="1"/>
    <x v="1"/>
    <x v="0"/>
    <x v="306"/>
    <n v="10236"/>
    <x v="5"/>
    <x v="12"/>
  </r>
  <r>
    <n v="414"/>
    <x v="187"/>
    <x v="6"/>
    <x v="1"/>
    <x v="2"/>
    <x v="307"/>
    <n v="177"/>
    <x v="4"/>
    <x v="7"/>
  </r>
  <r>
    <n v="227"/>
    <x v="188"/>
    <x v="29"/>
    <x v="0"/>
    <x v="5"/>
    <x v="308"/>
    <n v="6354"/>
    <x v="2"/>
    <x v="28"/>
  </r>
  <r>
    <n v="215"/>
    <x v="189"/>
    <x v="41"/>
    <x v="1"/>
    <x v="2"/>
    <x v="280"/>
    <n v="19956"/>
    <x v="3"/>
    <x v="4"/>
  </r>
  <r>
    <n v="191"/>
    <x v="77"/>
    <x v="13"/>
    <x v="0"/>
    <x v="3"/>
    <x v="309"/>
    <n v="15354"/>
    <x v="3"/>
    <x v="16"/>
  </r>
  <r>
    <n v="453"/>
    <x v="190"/>
    <x v="14"/>
    <x v="1"/>
    <x v="1"/>
    <x v="310"/>
    <n v="2436"/>
    <x v="4"/>
    <x v="33"/>
  </r>
  <r>
    <n v="321"/>
    <x v="77"/>
    <x v="37"/>
    <x v="0"/>
    <x v="4"/>
    <x v="311"/>
    <n v="2572"/>
    <x v="5"/>
    <x v="20"/>
  </r>
  <r>
    <n v="283"/>
    <x v="94"/>
    <x v="2"/>
    <x v="0"/>
    <x v="4"/>
    <x v="253"/>
    <n v="17402"/>
    <x v="3"/>
    <x v="5"/>
  </r>
  <r>
    <n v="30"/>
    <x v="112"/>
    <x v="15"/>
    <x v="1"/>
    <x v="3"/>
    <x v="312"/>
    <n v="1267"/>
    <x v="5"/>
    <x v="9"/>
  </r>
  <r>
    <n v="170"/>
    <x v="191"/>
    <x v="30"/>
    <x v="0"/>
    <x v="4"/>
    <x v="313"/>
    <n v="17200"/>
    <x v="1"/>
    <x v="26"/>
  </r>
  <r>
    <n v="181"/>
    <x v="90"/>
    <x v="28"/>
    <x v="0"/>
    <x v="4"/>
    <x v="244"/>
    <n v="17254"/>
    <x v="0"/>
    <x v="10"/>
  </r>
  <r>
    <n v="101"/>
    <x v="192"/>
    <x v="0"/>
    <x v="0"/>
    <x v="4"/>
    <x v="59"/>
    <n v="9688"/>
    <x v="1"/>
    <x v="23"/>
  </r>
  <r>
    <n v="198"/>
    <x v="193"/>
    <x v="39"/>
    <x v="0"/>
    <x v="0"/>
    <x v="314"/>
    <n v="13151"/>
    <x v="1"/>
    <x v="20"/>
  </r>
  <r>
    <n v="210"/>
    <x v="139"/>
    <x v="3"/>
    <x v="0"/>
    <x v="5"/>
    <x v="315"/>
    <n v="10420"/>
    <x v="5"/>
    <x v="9"/>
  </r>
  <r>
    <n v="136"/>
    <x v="151"/>
    <x v="6"/>
    <x v="1"/>
    <x v="2"/>
    <x v="316"/>
    <n v="109"/>
    <x v="5"/>
    <x v="23"/>
  </r>
  <r>
    <n v="484"/>
    <x v="194"/>
    <x v="17"/>
    <x v="0"/>
    <x v="3"/>
    <x v="317"/>
    <n v="914"/>
    <x v="3"/>
    <x v="30"/>
  </r>
  <r>
    <n v="441"/>
    <x v="195"/>
    <x v="13"/>
    <x v="1"/>
    <x v="1"/>
    <x v="172"/>
    <n v="17686"/>
    <x v="3"/>
    <x v="10"/>
  </r>
  <r>
    <n v="199"/>
    <x v="196"/>
    <x v="8"/>
    <x v="1"/>
    <x v="4"/>
    <x v="318"/>
    <n v="6981"/>
    <x v="0"/>
    <x v="34"/>
  </r>
  <r>
    <n v="374"/>
    <x v="165"/>
    <x v="30"/>
    <x v="0"/>
    <x v="4"/>
    <x v="319"/>
    <n v="18510"/>
    <x v="4"/>
    <x v="18"/>
  </r>
  <r>
    <n v="167"/>
    <x v="197"/>
    <x v="32"/>
    <x v="0"/>
    <x v="4"/>
    <x v="320"/>
    <n v="6097"/>
    <x v="5"/>
    <x v="15"/>
  </r>
  <r>
    <n v="395"/>
    <x v="198"/>
    <x v="37"/>
    <x v="1"/>
    <x v="4"/>
    <x v="321"/>
    <n v="18088"/>
    <x v="2"/>
    <x v="5"/>
  </r>
  <r>
    <n v="286"/>
    <x v="7"/>
    <x v="30"/>
    <x v="0"/>
    <x v="3"/>
    <x v="150"/>
    <n v="1631"/>
    <x v="4"/>
    <x v="18"/>
  </r>
  <r>
    <n v="336"/>
    <x v="199"/>
    <x v="5"/>
    <x v="1"/>
    <x v="1"/>
    <x v="322"/>
    <n v="10689"/>
    <x v="5"/>
    <x v="28"/>
  </r>
  <r>
    <n v="132"/>
    <x v="9"/>
    <x v="29"/>
    <x v="1"/>
    <x v="5"/>
    <x v="323"/>
    <n v="16739"/>
    <x v="2"/>
    <x v="24"/>
  </r>
  <r>
    <n v="40"/>
    <x v="200"/>
    <x v="22"/>
    <x v="0"/>
    <x v="1"/>
    <x v="324"/>
    <n v="4946"/>
    <x v="3"/>
    <x v="23"/>
  </r>
  <r>
    <n v="216"/>
    <x v="19"/>
    <x v="17"/>
    <x v="1"/>
    <x v="1"/>
    <x v="183"/>
    <n v="19316"/>
    <x v="3"/>
    <x v="6"/>
  </r>
  <r>
    <n v="44"/>
    <x v="201"/>
    <x v="19"/>
    <x v="0"/>
    <x v="3"/>
    <x v="325"/>
    <n v="2639"/>
    <x v="2"/>
    <x v="14"/>
  </r>
  <r>
    <n v="55"/>
    <x v="202"/>
    <x v="19"/>
    <x v="1"/>
    <x v="1"/>
    <x v="326"/>
    <n v="9680"/>
    <x v="0"/>
    <x v="25"/>
  </r>
  <r>
    <n v="488"/>
    <x v="76"/>
    <x v="40"/>
    <x v="1"/>
    <x v="1"/>
    <x v="274"/>
    <n v="10557"/>
    <x v="0"/>
    <x v="23"/>
  </r>
  <r>
    <n v="300"/>
    <x v="203"/>
    <x v="33"/>
    <x v="0"/>
    <x v="0"/>
    <x v="327"/>
    <n v="17780"/>
    <x v="5"/>
    <x v="37"/>
  </r>
  <r>
    <n v="468"/>
    <x v="204"/>
    <x v="19"/>
    <x v="0"/>
    <x v="4"/>
    <x v="328"/>
    <n v="2991"/>
    <x v="4"/>
    <x v="22"/>
  </r>
  <r>
    <n v="36"/>
    <x v="66"/>
    <x v="0"/>
    <x v="1"/>
    <x v="1"/>
    <x v="329"/>
    <n v="5434"/>
    <x v="0"/>
    <x v="4"/>
  </r>
  <r>
    <n v="316"/>
    <x v="205"/>
    <x v="16"/>
    <x v="1"/>
    <x v="2"/>
    <x v="115"/>
    <n v="8043"/>
    <x v="3"/>
    <x v="2"/>
  </r>
  <r>
    <n v="400"/>
    <x v="20"/>
    <x v="9"/>
    <x v="1"/>
    <x v="3"/>
    <x v="330"/>
    <n v="8667"/>
    <x v="5"/>
    <x v="35"/>
  </r>
  <r>
    <n v="277"/>
    <x v="81"/>
    <x v="39"/>
    <x v="1"/>
    <x v="3"/>
    <x v="331"/>
    <n v="4721"/>
    <x v="1"/>
    <x v="26"/>
  </r>
  <r>
    <n v="125"/>
    <x v="28"/>
    <x v="0"/>
    <x v="1"/>
    <x v="1"/>
    <x v="332"/>
    <n v="13316"/>
    <x v="4"/>
    <x v="23"/>
  </r>
  <r>
    <n v="143"/>
    <x v="165"/>
    <x v="4"/>
    <x v="0"/>
    <x v="2"/>
    <x v="333"/>
    <n v="14612"/>
    <x v="4"/>
    <x v="36"/>
  </r>
  <r>
    <n v="111"/>
    <x v="155"/>
    <x v="36"/>
    <x v="1"/>
    <x v="2"/>
    <x v="334"/>
    <n v="11123"/>
    <x v="1"/>
    <x v="12"/>
  </r>
  <r>
    <n v="324"/>
    <x v="26"/>
    <x v="20"/>
    <x v="0"/>
    <x v="5"/>
    <x v="335"/>
    <n v="1861"/>
    <x v="1"/>
    <x v="11"/>
  </r>
  <r>
    <n v="333"/>
    <x v="158"/>
    <x v="37"/>
    <x v="0"/>
    <x v="3"/>
    <x v="336"/>
    <n v="5722"/>
    <x v="4"/>
    <x v="9"/>
  </r>
  <r>
    <n v="394"/>
    <x v="206"/>
    <x v="12"/>
    <x v="0"/>
    <x v="1"/>
    <x v="337"/>
    <n v="8084"/>
    <x v="5"/>
    <x v="37"/>
  </r>
  <r>
    <n v="474"/>
    <x v="207"/>
    <x v="18"/>
    <x v="1"/>
    <x v="5"/>
    <x v="262"/>
    <n v="10247"/>
    <x v="4"/>
    <x v="3"/>
  </r>
  <r>
    <n v="108"/>
    <x v="127"/>
    <x v="6"/>
    <x v="1"/>
    <x v="3"/>
    <x v="338"/>
    <n v="13423"/>
    <x v="2"/>
    <x v="39"/>
  </r>
  <r>
    <n v="456"/>
    <x v="175"/>
    <x v="30"/>
    <x v="1"/>
    <x v="1"/>
    <x v="339"/>
    <n v="19129"/>
    <x v="5"/>
    <x v="25"/>
  </r>
  <r>
    <n v="13"/>
    <x v="0"/>
    <x v="10"/>
    <x v="1"/>
    <x v="1"/>
    <x v="225"/>
    <n v="17849"/>
    <x v="2"/>
    <x v="4"/>
  </r>
  <r>
    <n v="273"/>
    <x v="208"/>
    <x v="15"/>
    <x v="1"/>
    <x v="4"/>
    <x v="340"/>
    <n v="11579"/>
    <x v="3"/>
    <x v="23"/>
  </r>
  <r>
    <n v="48"/>
    <x v="209"/>
    <x v="24"/>
    <x v="0"/>
    <x v="3"/>
    <x v="96"/>
    <n v="1642"/>
    <x v="3"/>
    <x v="16"/>
  </r>
  <r>
    <n v="204"/>
    <x v="146"/>
    <x v="9"/>
    <x v="1"/>
    <x v="3"/>
    <x v="341"/>
    <n v="10309"/>
    <x v="3"/>
    <x v="32"/>
  </r>
  <r>
    <n v="478"/>
    <x v="165"/>
    <x v="9"/>
    <x v="0"/>
    <x v="4"/>
    <x v="1"/>
    <n v="12398"/>
    <x v="5"/>
    <x v="14"/>
  </r>
  <r>
    <n v="22"/>
    <x v="13"/>
    <x v="31"/>
    <x v="1"/>
    <x v="0"/>
    <x v="342"/>
    <n v="2602"/>
    <x v="3"/>
    <x v="30"/>
  </r>
  <r>
    <n v="403"/>
    <x v="210"/>
    <x v="10"/>
    <x v="0"/>
    <x v="1"/>
    <x v="343"/>
    <n v="19119"/>
    <x v="1"/>
    <x v="30"/>
  </r>
  <r>
    <n v="84"/>
    <x v="211"/>
    <x v="0"/>
    <x v="1"/>
    <x v="2"/>
    <x v="344"/>
    <n v="5129"/>
    <x v="2"/>
    <x v="32"/>
  </r>
  <r>
    <n v="131"/>
    <x v="212"/>
    <x v="4"/>
    <x v="1"/>
    <x v="2"/>
    <x v="345"/>
    <n v="5813"/>
    <x v="1"/>
    <x v="36"/>
  </r>
  <r>
    <n v="457"/>
    <x v="136"/>
    <x v="6"/>
    <x v="1"/>
    <x v="5"/>
    <x v="346"/>
    <n v="4712"/>
    <x v="2"/>
    <x v="16"/>
  </r>
  <r>
    <n v="494"/>
    <x v="1"/>
    <x v="17"/>
    <x v="1"/>
    <x v="2"/>
    <x v="347"/>
    <n v="927"/>
    <x v="4"/>
    <x v="32"/>
  </r>
  <r>
    <n v="230"/>
    <x v="213"/>
    <x v="13"/>
    <x v="0"/>
    <x v="0"/>
    <x v="348"/>
    <n v="15283"/>
    <x v="2"/>
    <x v="23"/>
  </r>
  <r>
    <n v="287"/>
    <x v="214"/>
    <x v="14"/>
    <x v="0"/>
    <x v="4"/>
    <x v="256"/>
    <n v="8272"/>
    <x v="5"/>
    <x v="6"/>
  </r>
  <r>
    <n v="124"/>
    <x v="58"/>
    <x v="32"/>
    <x v="0"/>
    <x v="4"/>
    <x v="142"/>
    <n v="5420"/>
    <x v="4"/>
    <x v="17"/>
  </r>
  <r>
    <n v="34"/>
    <x v="190"/>
    <x v="2"/>
    <x v="1"/>
    <x v="2"/>
    <x v="128"/>
    <n v="4829"/>
    <x v="0"/>
    <x v="16"/>
  </r>
  <r>
    <n v="486"/>
    <x v="139"/>
    <x v="31"/>
    <x v="0"/>
    <x v="3"/>
    <x v="349"/>
    <n v="10641"/>
    <x v="3"/>
    <x v="2"/>
  </r>
  <r>
    <n v="412"/>
    <x v="215"/>
    <x v="12"/>
    <x v="1"/>
    <x v="3"/>
    <x v="350"/>
    <n v="15624"/>
    <x v="3"/>
    <x v="6"/>
  </r>
  <r>
    <n v="20"/>
    <x v="119"/>
    <x v="7"/>
    <x v="1"/>
    <x v="3"/>
    <x v="351"/>
    <n v="4271"/>
    <x v="3"/>
    <x v="32"/>
  </r>
  <r>
    <n v="220"/>
    <x v="120"/>
    <x v="35"/>
    <x v="1"/>
    <x v="2"/>
    <x v="75"/>
    <n v="5669"/>
    <x v="4"/>
    <x v="7"/>
  </r>
  <r>
    <n v="380"/>
    <x v="216"/>
    <x v="4"/>
    <x v="0"/>
    <x v="0"/>
    <x v="184"/>
    <n v="2319"/>
    <x v="1"/>
    <x v="24"/>
  </r>
  <r>
    <n v="420"/>
    <x v="39"/>
    <x v="1"/>
    <x v="0"/>
    <x v="3"/>
    <x v="352"/>
    <n v="10635"/>
    <x v="3"/>
    <x v="20"/>
  </r>
  <r>
    <n v="357"/>
    <x v="39"/>
    <x v="21"/>
    <x v="0"/>
    <x v="1"/>
    <x v="353"/>
    <n v="13803"/>
    <x v="2"/>
    <x v="5"/>
  </r>
  <r>
    <n v="150"/>
    <x v="217"/>
    <x v="33"/>
    <x v="0"/>
    <x v="2"/>
    <x v="354"/>
    <n v="7366"/>
    <x v="3"/>
    <x v="22"/>
  </r>
  <r>
    <n v="225"/>
    <x v="218"/>
    <x v="30"/>
    <x v="0"/>
    <x v="2"/>
    <x v="355"/>
    <n v="12334"/>
    <x v="3"/>
    <x v="3"/>
  </r>
  <r>
    <n v="248"/>
    <x v="219"/>
    <x v="0"/>
    <x v="0"/>
    <x v="4"/>
    <x v="193"/>
    <n v="7081"/>
    <x v="4"/>
    <x v="5"/>
  </r>
  <r>
    <n v="454"/>
    <x v="104"/>
    <x v="23"/>
    <x v="1"/>
    <x v="0"/>
    <x v="109"/>
    <n v="5473"/>
    <x v="4"/>
    <x v="26"/>
  </r>
  <r>
    <n v="152"/>
    <x v="213"/>
    <x v="41"/>
    <x v="1"/>
    <x v="1"/>
    <x v="356"/>
    <n v="484"/>
    <x v="5"/>
    <x v="6"/>
  </r>
  <r>
    <n v="493"/>
    <x v="75"/>
    <x v="23"/>
    <x v="0"/>
    <x v="2"/>
    <x v="120"/>
    <n v="15428"/>
    <x v="5"/>
    <x v="7"/>
  </r>
  <r>
    <n v="318"/>
    <x v="220"/>
    <x v="30"/>
    <x v="0"/>
    <x v="0"/>
    <x v="357"/>
    <n v="15828"/>
    <x v="1"/>
    <x v="16"/>
  </r>
  <r>
    <n v="292"/>
    <x v="9"/>
    <x v="7"/>
    <x v="1"/>
    <x v="1"/>
    <x v="358"/>
    <n v="3186"/>
    <x v="2"/>
    <x v="22"/>
  </r>
  <r>
    <n v="234"/>
    <x v="212"/>
    <x v="37"/>
    <x v="0"/>
    <x v="3"/>
    <x v="359"/>
    <n v="12747"/>
    <x v="5"/>
    <x v="13"/>
  </r>
  <r>
    <n v="11"/>
    <x v="92"/>
    <x v="3"/>
    <x v="0"/>
    <x v="4"/>
    <x v="360"/>
    <n v="14291"/>
    <x v="2"/>
    <x v="28"/>
  </r>
  <r>
    <n v="280"/>
    <x v="185"/>
    <x v="31"/>
    <x v="0"/>
    <x v="0"/>
    <x v="361"/>
    <n v="5226"/>
    <x v="0"/>
    <x v="10"/>
  </r>
  <r>
    <n v="72"/>
    <x v="19"/>
    <x v="31"/>
    <x v="1"/>
    <x v="3"/>
    <x v="362"/>
    <n v="13216"/>
    <x v="5"/>
    <x v="11"/>
  </r>
  <r>
    <n v="253"/>
    <x v="99"/>
    <x v="28"/>
    <x v="1"/>
    <x v="1"/>
    <x v="58"/>
    <n v="10260"/>
    <x v="3"/>
    <x v="32"/>
  </r>
  <r>
    <n v="93"/>
    <x v="53"/>
    <x v="23"/>
    <x v="0"/>
    <x v="2"/>
    <x v="363"/>
    <n v="13943"/>
    <x v="0"/>
    <x v="0"/>
  </r>
  <r>
    <n v="492"/>
    <x v="14"/>
    <x v="23"/>
    <x v="1"/>
    <x v="3"/>
    <x v="216"/>
    <n v="17468"/>
    <x v="4"/>
    <x v="31"/>
  </r>
  <r>
    <n v="350"/>
    <x v="221"/>
    <x v="38"/>
    <x v="1"/>
    <x v="0"/>
    <x v="364"/>
    <n v="14017"/>
    <x v="1"/>
    <x v="16"/>
  </r>
  <r>
    <n v="416"/>
    <x v="188"/>
    <x v="18"/>
    <x v="1"/>
    <x v="0"/>
    <x v="365"/>
    <n v="17084"/>
    <x v="3"/>
    <x v="13"/>
  </r>
  <r>
    <n v="375"/>
    <x v="66"/>
    <x v="24"/>
    <x v="0"/>
    <x v="5"/>
    <x v="183"/>
    <n v="14694"/>
    <x v="0"/>
    <x v="8"/>
  </r>
  <r>
    <n v="401"/>
    <x v="222"/>
    <x v="4"/>
    <x v="1"/>
    <x v="2"/>
    <x v="366"/>
    <n v="3630"/>
    <x v="0"/>
    <x v="23"/>
  </r>
  <r>
    <n v="193"/>
    <x v="43"/>
    <x v="19"/>
    <x v="0"/>
    <x v="2"/>
    <x v="216"/>
    <n v="1352"/>
    <x v="5"/>
    <x v="22"/>
  </r>
  <r>
    <n v="258"/>
    <x v="33"/>
    <x v="8"/>
    <x v="0"/>
    <x v="5"/>
    <x v="367"/>
    <n v="10553"/>
    <x v="5"/>
    <x v="3"/>
  </r>
  <r>
    <n v="495"/>
    <x v="223"/>
    <x v="20"/>
    <x v="1"/>
    <x v="1"/>
    <x v="368"/>
    <n v="7247"/>
    <x v="0"/>
    <x v="25"/>
  </r>
  <r>
    <n v="340"/>
    <x v="224"/>
    <x v="10"/>
    <x v="0"/>
    <x v="2"/>
    <x v="369"/>
    <n v="17547"/>
    <x v="1"/>
    <x v="36"/>
  </r>
  <r>
    <n v="68"/>
    <x v="225"/>
    <x v="24"/>
    <x v="1"/>
    <x v="3"/>
    <x v="151"/>
    <n v="11814"/>
    <x v="4"/>
    <x v="28"/>
  </r>
  <r>
    <n v="196"/>
    <x v="6"/>
    <x v="34"/>
    <x v="1"/>
    <x v="4"/>
    <x v="370"/>
    <n v="4773"/>
    <x v="5"/>
    <x v="4"/>
  </r>
  <r>
    <n v="344"/>
    <x v="94"/>
    <x v="18"/>
    <x v="1"/>
    <x v="1"/>
    <x v="371"/>
    <n v="5442"/>
    <x v="4"/>
    <x v="12"/>
  </r>
  <r>
    <n v="138"/>
    <x v="27"/>
    <x v="29"/>
    <x v="1"/>
    <x v="5"/>
    <x v="153"/>
    <n v="5224"/>
    <x v="5"/>
    <x v="16"/>
  </r>
  <r>
    <n v="261"/>
    <x v="1"/>
    <x v="7"/>
    <x v="0"/>
    <x v="4"/>
    <x v="372"/>
    <n v="19362"/>
    <x v="1"/>
    <x v="24"/>
  </r>
  <r>
    <n v="39"/>
    <x v="0"/>
    <x v="39"/>
    <x v="1"/>
    <x v="5"/>
    <x v="373"/>
    <n v="6901"/>
    <x v="4"/>
    <x v="18"/>
  </r>
  <r>
    <n v="463"/>
    <x v="226"/>
    <x v="40"/>
    <x v="1"/>
    <x v="5"/>
    <x v="110"/>
    <n v="6459"/>
    <x v="3"/>
    <x v="34"/>
  </r>
  <r>
    <n v="202"/>
    <x v="84"/>
    <x v="3"/>
    <x v="0"/>
    <x v="3"/>
    <x v="327"/>
    <n v="8117"/>
    <x v="0"/>
    <x v="5"/>
  </r>
  <r>
    <n v="481"/>
    <x v="26"/>
    <x v="39"/>
    <x v="0"/>
    <x v="4"/>
    <x v="374"/>
    <n v="10889"/>
    <x v="3"/>
    <x v="7"/>
  </r>
  <r>
    <n v="291"/>
    <x v="227"/>
    <x v="7"/>
    <x v="1"/>
    <x v="2"/>
    <x v="375"/>
    <n v="2006"/>
    <x v="2"/>
    <x v="11"/>
  </r>
  <r>
    <n v="449"/>
    <x v="19"/>
    <x v="4"/>
    <x v="1"/>
    <x v="5"/>
    <x v="231"/>
    <n v="10889"/>
    <x v="1"/>
    <x v="18"/>
  </r>
  <r>
    <n v="190"/>
    <x v="228"/>
    <x v="30"/>
    <x v="0"/>
    <x v="4"/>
    <x v="376"/>
    <n v="19858"/>
    <x v="4"/>
    <x v="32"/>
  </r>
  <r>
    <n v="252"/>
    <x v="76"/>
    <x v="15"/>
    <x v="0"/>
    <x v="4"/>
    <x v="377"/>
    <n v="19077"/>
    <x v="2"/>
    <x v="20"/>
  </r>
  <r>
    <n v="113"/>
    <x v="176"/>
    <x v="23"/>
    <x v="1"/>
    <x v="5"/>
    <x v="378"/>
    <n v="9437"/>
    <x v="5"/>
    <x v="0"/>
  </r>
  <r>
    <n v="438"/>
    <x v="185"/>
    <x v="40"/>
    <x v="1"/>
    <x v="0"/>
    <x v="379"/>
    <n v="11402"/>
    <x v="2"/>
    <x v="24"/>
  </r>
  <r>
    <n v="184"/>
    <x v="160"/>
    <x v="19"/>
    <x v="0"/>
    <x v="1"/>
    <x v="380"/>
    <n v="17561"/>
    <x v="1"/>
    <x v="27"/>
  </r>
  <r>
    <n v="153"/>
    <x v="165"/>
    <x v="1"/>
    <x v="0"/>
    <x v="0"/>
    <x v="381"/>
    <n v="504"/>
    <x v="2"/>
    <x v="4"/>
  </r>
  <r>
    <n v="313"/>
    <x v="229"/>
    <x v="6"/>
    <x v="0"/>
    <x v="1"/>
    <x v="382"/>
    <n v="6471"/>
    <x v="5"/>
    <x v="19"/>
  </r>
  <r>
    <n v="326"/>
    <x v="94"/>
    <x v="5"/>
    <x v="1"/>
    <x v="2"/>
    <x v="383"/>
    <n v="10654"/>
    <x v="0"/>
    <x v="13"/>
  </r>
  <r>
    <n v="192"/>
    <x v="230"/>
    <x v="35"/>
    <x v="1"/>
    <x v="2"/>
    <x v="29"/>
    <n v="11570"/>
    <x v="4"/>
    <x v="12"/>
  </r>
  <r>
    <n v="45"/>
    <x v="1"/>
    <x v="41"/>
    <x v="1"/>
    <x v="4"/>
    <x v="296"/>
    <n v="7156"/>
    <x v="4"/>
    <x v="17"/>
  </r>
  <r>
    <n v="445"/>
    <x v="6"/>
    <x v="3"/>
    <x v="1"/>
    <x v="3"/>
    <x v="264"/>
    <n v="9546"/>
    <x v="0"/>
    <x v="18"/>
  </r>
  <r>
    <n v="276"/>
    <x v="231"/>
    <x v="30"/>
    <x v="1"/>
    <x v="5"/>
    <x v="384"/>
    <n v="6909"/>
    <x v="1"/>
    <x v="38"/>
  </r>
  <r>
    <n v="7"/>
    <x v="165"/>
    <x v="35"/>
    <x v="0"/>
    <x v="5"/>
    <x v="385"/>
    <n v="13684"/>
    <x v="1"/>
    <x v="4"/>
  </r>
  <r>
    <n v="251"/>
    <x v="100"/>
    <x v="35"/>
    <x v="0"/>
    <x v="2"/>
    <x v="347"/>
    <n v="18877"/>
    <x v="4"/>
    <x v="19"/>
  </r>
  <r>
    <n v="312"/>
    <x v="232"/>
    <x v="26"/>
    <x v="0"/>
    <x v="0"/>
    <x v="386"/>
    <n v="16716"/>
    <x v="4"/>
    <x v="9"/>
  </r>
  <r>
    <n v="76"/>
    <x v="177"/>
    <x v="12"/>
    <x v="0"/>
    <x v="3"/>
    <x v="387"/>
    <n v="6630"/>
    <x v="1"/>
    <x v="27"/>
  </r>
  <r>
    <n v="1"/>
    <x v="110"/>
    <x v="29"/>
    <x v="1"/>
    <x v="5"/>
    <x v="388"/>
    <n v="12143"/>
    <x v="1"/>
    <x v="14"/>
  </r>
  <r>
    <n v="429"/>
    <x v="96"/>
    <x v="30"/>
    <x v="1"/>
    <x v="2"/>
    <x v="389"/>
    <n v="9284"/>
    <x v="3"/>
    <x v="0"/>
  </r>
  <r>
    <n v="392"/>
    <x v="26"/>
    <x v="12"/>
    <x v="1"/>
    <x v="2"/>
    <x v="390"/>
    <n v="3590"/>
    <x v="4"/>
    <x v="21"/>
  </r>
  <r>
    <n v="384"/>
    <x v="209"/>
    <x v="15"/>
    <x v="1"/>
    <x v="0"/>
    <x v="391"/>
    <n v="1719"/>
    <x v="1"/>
    <x v="2"/>
  </r>
  <r>
    <n v="433"/>
    <x v="79"/>
    <x v="40"/>
    <x v="1"/>
    <x v="0"/>
    <x v="392"/>
    <n v="11346"/>
    <x v="2"/>
    <x v="23"/>
  </r>
  <r>
    <n v="69"/>
    <x v="109"/>
    <x v="21"/>
    <x v="1"/>
    <x v="3"/>
    <x v="393"/>
    <n v="4848"/>
    <x v="3"/>
    <x v="20"/>
  </r>
  <r>
    <n v="487"/>
    <x v="91"/>
    <x v="17"/>
    <x v="0"/>
    <x v="5"/>
    <x v="295"/>
    <n v="2543"/>
    <x v="4"/>
    <x v="21"/>
  </r>
  <r>
    <n v="168"/>
    <x v="233"/>
    <x v="0"/>
    <x v="1"/>
    <x v="1"/>
    <x v="225"/>
    <n v="2148"/>
    <x v="5"/>
    <x v="31"/>
  </r>
  <r>
    <n v="393"/>
    <x v="234"/>
    <x v="6"/>
    <x v="0"/>
    <x v="0"/>
    <x v="394"/>
    <n v="9410"/>
    <x v="2"/>
    <x v="18"/>
  </r>
  <r>
    <n v="219"/>
    <x v="53"/>
    <x v="28"/>
    <x v="0"/>
    <x v="5"/>
    <x v="395"/>
    <n v="14488"/>
    <x v="5"/>
    <x v="23"/>
  </r>
  <r>
    <n v="43"/>
    <x v="66"/>
    <x v="12"/>
    <x v="0"/>
    <x v="0"/>
    <x v="396"/>
    <n v="17437"/>
    <x v="5"/>
    <x v="20"/>
  </r>
  <r>
    <n v="367"/>
    <x v="50"/>
    <x v="22"/>
    <x v="1"/>
    <x v="0"/>
    <x v="397"/>
    <n v="6333"/>
    <x v="1"/>
    <x v="16"/>
  </r>
  <r>
    <n v="346"/>
    <x v="200"/>
    <x v="12"/>
    <x v="0"/>
    <x v="0"/>
    <x v="147"/>
    <n v="8759"/>
    <x v="3"/>
    <x v="32"/>
  </r>
  <r>
    <n v="73"/>
    <x v="92"/>
    <x v="15"/>
    <x v="0"/>
    <x v="3"/>
    <x v="44"/>
    <n v="9676"/>
    <x v="4"/>
    <x v="0"/>
  </r>
  <r>
    <n v="24"/>
    <x v="235"/>
    <x v="14"/>
    <x v="0"/>
    <x v="1"/>
    <x v="398"/>
    <n v="19266"/>
    <x v="1"/>
    <x v="16"/>
  </r>
  <r>
    <n v="399"/>
    <x v="136"/>
    <x v="13"/>
    <x v="1"/>
    <x v="2"/>
    <x v="399"/>
    <n v="2008"/>
    <x v="4"/>
    <x v="33"/>
  </r>
  <r>
    <n v="186"/>
    <x v="13"/>
    <x v="33"/>
    <x v="0"/>
    <x v="4"/>
    <x v="400"/>
    <n v="8680"/>
    <x v="4"/>
    <x v="7"/>
  </r>
  <r>
    <n v="349"/>
    <x v="64"/>
    <x v="3"/>
    <x v="1"/>
    <x v="0"/>
    <x v="369"/>
    <n v="217"/>
    <x v="1"/>
    <x v="5"/>
  </r>
  <r>
    <n v="104"/>
    <x v="173"/>
    <x v="9"/>
    <x v="0"/>
    <x v="4"/>
    <x v="401"/>
    <n v="3430"/>
    <x v="0"/>
    <x v="17"/>
  </r>
  <r>
    <n v="212"/>
    <x v="157"/>
    <x v="15"/>
    <x v="0"/>
    <x v="4"/>
    <x v="402"/>
    <n v="4992"/>
    <x v="4"/>
    <x v="20"/>
  </r>
  <r>
    <n v="197"/>
    <x v="37"/>
    <x v="4"/>
    <x v="0"/>
    <x v="2"/>
    <x v="403"/>
    <n v="15881"/>
    <x v="3"/>
    <x v="33"/>
  </r>
  <r>
    <n v="176"/>
    <x v="78"/>
    <x v="3"/>
    <x v="1"/>
    <x v="0"/>
    <x v="404"/>
    <n v="14530"/>
    <x v="4"/>
    <x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9E99D0-5092-4B36-83C3-676BF3C56F33}" name="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 rowHeaderCaption="Product_Category">
  <location ref="G3:H10" firstHeaderRow="1" firstDataRow="1" firstDataCol="1"/>
  <pivotFields count="11">
    <pivotField numFmtId="1" showAll="0"/>
    <pivotField showAll="0"/>
    <pivotField numFmtId="1" showAll="0">
      <items count="43">
        <item x="13"/>
        <item x="19"/>
        <item x="28"/>
        <item x="39"/>
        <item x="11"/>
        <item x="34"/>
        <item x="2"/>
        <item x="24"/>
        <item x="0"/>
        <item x="40"/>
        <item x="8"/>
        <item x="14"/>
        <item x="38"/>
        <item x="21"/>
        <item x="27"/>
        <item x="15"/>
        <item x="25"/>
        <item x="20"/>
        <item x="35"/>
        <item x="41"/>
        <item x="31"/>
        <item x="36"/>
        <item x="37"/>
        <item x="3"/>
        <item x="22"/>
        <item x="12"/>
        <item x="32"/>
        <item x="33"/>
        <item x="18"/>
        <item x="1"/>
        <item x="16"/>
        <item x="4"/>
        <item x="30"/>
        <item x="9"/>
        <item x="23"/>
        <item x="17"/>
        <item x="6"/>
        <item x="7"/>
        <item x="29"/>
        <item x="10"/>
        <item x="26"/>
        <item x="5"/>
        <item t="default"/>
      </items>
    </pivotField>
    <pivotField showAll="0"/>
    <pivotField showAll="0">
      <items count="7">
        <item x="4"/>
        <item x="3"/>
        <item x="5"/>
        <item x="1"/>
        <item x="0"/>
        <item x="2"/>
        <item t="default"/>
      </items>
    </pivotField>
    <pivotField numFmtId="14" showAll="0">
      <items count="406">
        <item x="2"/>
        <item x="132"/>
        <item x="166"/>
        <item x="189"/>
        <item x="307"/>
        <item x="44"/>
        <item x="234"/>
        <item x="360"/>
        <item x="145"/>
        <item x="289"/>
        <item x="258"/>
        <item x="380"/>
        <item x="74"/>
        <item x="334"/>
        <item x="213"/>
        <item x="382"/>
        <item x="255"/>
        <item x="142"/>
        <item x="232"/>
        <item x="92"/>
        <item x="14"/>
        <item x="46"/>
        <item x="353"/>
        <item x="243"/>
        <item x="67"/>
        <item x="85"/>
        <item x="84"/>
        <item x="203"/>
        <item x="208"/>
        <item x="314"/>
        <item x="17"/>
        <item x="309"/>
        <item x="272"/>
        <item x="199"/>
        <item x="349"/>
        <item x="183"/>
        <item x="96"/>
        <item x="393"/>
        <item x="346"/>
        <item x="372"/>
        <item x="268"/>
        <item x="212"/>
        <item x="111"/>
        <item x="230"/>
        <item x="221"/>
        <item x="206"/>
        <item x="336"/>
        <item x="202"/>
        <item x="269"/>
        <item x="388"/>
        <item x="238"/>
        <item x="53"/>
        <item x="254"/>
        <item x="316"/>
        <item x="319"/>
        <item x="220"/>
        <item x="200"/>
        <item x="159"/>
        <item x="216"/>
        <item x="117"/>
        <item x="352"/>
        <item x="315"/>
        <item x="292"/>
        <item x="156"/>
        <item x="261"/>
        <item x="190"/>
        <item x="113"/>
        <item x="280"/>
        <item x="146"/>
        <item x="150"/>
        <item x="172"/>
        <item x="12"/>
        <item x="19"/>
        <item x="366"/>
        <item x="262"/>
        <item x="223"/>
        <item x="52"/>
        <item x="347"/>
        <item x="81"/>
        <item x="68"/>
        <item x="402"/>
        <item x="37"/>
        <item x="305"/>
        <item x="36"/>
        <item x="395"/>
        <item x="368"/>
        <item x="77"/>
        <item x="98"/>
        <item x="171"/>
        <item x="135"/>
        <item x="400"/>
        <item x="267"/>
        <item x="217"/>
        <item x="110"/>
        <item x="134"/>
        <item x="196"/>
        <item x="298"/>
        <item x="335"/>
        <item x="185"/>
        <item x="373"/>
        <item x="55"/>
        <item x="103"/>
        <item x="351"/>
        <item x="28"/>
        <item x="50"/>
        <item x="359"/>
        <item x="327"/>
        <item x="153"/>
        <item x="181"/>
        <item x="286"/>
        <item x="401"/>
        <item x="123"/>
        <item x="377"/>
        <item x="378"/>
        <item x="182"/>
        <item x="204"/>
        <item x="80"/>
        <item x="4"/>
        <item x="69"/>
        <item x="143"/>
        <item x="279"/>
        <item x="186"/>
        <item x="364"/>
        <item x="301"/>
        <item x="376"/>
        <item x="342"/>
        <item x="195"/>
        <item x="148"/>
        <item x="10"/>
        <item x="320"/>
        <item x="83"/>
        <item x="235"/>
        <item x="79"/>
        <item x="251"/>
        <item x="394"/>
        <item x="332"/>
        <item x="137"/>
        <item x="259"/>
        <item x="118"/>
        <item x="99"/>
        <item x="141"/>
        <item x="188"/>
        <item x="101"/>
        <item x="398"/>
        <item x="392"/>
        <item x="356"/>
        <item x="58"/>
        <item x="180"/>
        <item x="82"/>
        <item x="211"/>
        <item x="282"/>
        <item x="3"/>
        <item x="275"/>
        <item x="225"/>
        <item x="252"/>
        <item x="355"/>
        <item x="297"/>
        <item x="283"/>
        <item x="27"/>
        <item x="354"/>
        <item x="90"/>
        <item x="371"/>
        <item x="384"/>
        <item x="168"/>
        <item x="66"/>
        <item x="341"/>
        <item x="362"/>
        <item x="129"/>
        <item x="30"/>
        <item x="294"/>
        <item x="6"/>
        <item x="115"/>
        <item x="218"/>
        <item x="105"/>
        <item x="163"/>
        <item x="224"/>
        <item x="125"/>
        <item x="328"/>
        <item x="207"/>
        <item x="120"/>
        <item x="397"/>
        <item x="21"/>
        <item x="264"/>
        <item x="333"/>
        <item x="236"/>
        <item x="300"/>
        <item x="198"/>
        <item x="226"/>
        <item x="348"/>
        <item x="383"/>
        <item x="324"/>
        <item x="385"/>
        <item x="290"/>
        <item x="144"/>
        <item x="121"/>
        <item x="62"/>
        <item x="140"/>
        <item x="215"/>
        <item x="367"/>
        <item x="122"/>
        <item x="219"/>
        <item x="178"/>
        <item x="170"/>
        <item x="13"/>
        <item x="47"/>
        <item x="194"/>
        <item x="152"/>
        <item x="95"/>
        <item x="187"/>
        <item x="158"/>
        <item x="248"/>
        <item x="242"/>
        <item x="184"/>
        <item x="296"/>
        <item x="127"/>
        <item x="114"/>
        <item x="116"/>
        <item x="237"/>
        <item x="399"/>
        <item x="29"/>
        <item x="278"/>
        <item x="131"/>
        <item x="124"/>
        <item x="357"/>
        <item x="245"/>
        <item x="228"/>
        <item x="97"/>
        <item x="100"/>
        <item x="89"/>
        <item x="227"/>
        <item x="5"/>
        <item x="263"/>
        <item x="108"/>
        <item x="358"/>
        <item x="210"/>
        <item x="239"/>
        <item x="281"/>
        <item x="175"/>
        <item x="193"/>
        <item x="179"/>
        <item x="361"/>
        <item x="51"/>
        <item x="1"/>
        <item x="317"/>
        <item x="266"/>
        <item x="65"/>
        <item x="391"/>
        <item x="40"/>
        <item x="244"/>
        <item x="160"/>
        <item x="162"/>
        <item x="291"/>
        <item x="191"/>
        <item x="173"/>
        <item x="133"/>
        <item x="256"/>
        <item x="88"/>
        <item x="370"/>
        <item x="102"/>
        <item x="330"/>
        <item x="365"/>
        <item x="35"/>
        <item x="164"/>
        <item x="284"/>
        <item x="107"/>
        <item x="318"/>
        <item x="24"/>
        <item x="48"/>
        <item x="165"/>
        <item x="176"/>
        <item x="344"/>
        <item x="240"/>
        <item x="379"/>
        <item x="304"/>
        <item x="151"/>
        <item x="313"/>
        <item x="295"/>
        <item x="273"/>
        <item x="233"/>
        <item x="42"/>
        <item x="87"/>
        <item x="308"/>
        <item x="16"/>
        <item x="126"/>
        <item x="70"/>
        <item x="285"/>
        <item x="350"/>
        <item x="73"/>
        <item x="250"/>
        <item x="257"/>
        <item x="343"/>
        <item x="329"/>
        <item x="177"/>
        <item x="33"/>
        <item x="78"/>
        <item x="34"/>
        <item x="38"/>
        <item x="61"/>
        <item x="147"/>
        <item x="169"/>
        <item x="104"/>
        <item x="325"/>
        <item x="241"/>
        <item x="386"/>
        <item x="43"/>
        <item x="214"/>
        <item x="25"/>
        <item x="174"/>
        <item x="338"/>
        <item x="167"/>
        <item x="59"/>
        <item x="222"/>
        <item x="331"/>
        <item x="76"/>
        <item x="11"/>
        <item x="192"/>
        <item x="390"/>
        <item x="389"/>
        <item x="106"/>
        <item x="287"/>
        <item x="197"/>
        <item x="302"/>
        <item x="404"/>
        <item x="54"/>
        <item x="381"/>
        <item x="246"/>
        <item x="41"/>
        <item x="20"/>
        <item x="32"/>
        <item x="201"/>
        <item x="22"/>
        <item x="8"/>
        <item x="57"/>
        <item x="9"/>
        <item x="265"/>
        <item x="86"/>
        <item x="345"/>
        <item x="63"/>
        <item x="91"/>
        <item x="39"/>
        <item x="93"/>
        <item x="270"/>
        <item x="229"/>
        <item x="161"/>
        <item x="387"/>
        <item x="149"/>
        <item x="231"/>
        <item x="23"/>
        <item x="15"/>
        <item x="209"/>
        <item x="31"/>
        <item x="139"/>
        <item x="56"/>
        <item x="7"/>
        <item x="369"/>
        <item x="109"/>
        <item x="253"/>
        <item x="396"/>
        <item x="375"/>
        <item x="119"/>
        <item x="303"/>
        <item x="71"/>
        <item x="403"/>
        <item x="312"/>
        <item x="247"/>
        <item x="112"/>
        <item x="136"/>
        <item x="64"/>
        <item x="60"/>
        <item x="374"/>
        <item x="340"/>
        <item x="288"/>
        <item x="326"/>
        <item x="130"/>
        <item x="339"/>
        <item x="293"/>
        <item x="45"/>
        <item x="276"/>
        <item x="323"/>
        <item x="271"/>
        <item x="311"/>
        <item x="0"/>
        <item x="310"/>
        <item x="322"/>
        <item x="337"/>
        <item x="72"/>
        <item x="128"/>
        <item x="157"/>
        <item x="363"/>
        <item x="18"/>
        <item x="154"/>
        <item x="249"/>
        <item x="155"/>
        <item x="75"/>
        <item x="138"/>
        <item x="260"/>
        <item x="205"/>
        <item x="299"/>
        <item x="94"/>
        <item x="277"/>
        <item x="321"/>
        <item x="49"/>
        <item x="26"/>
        <item x="274"/>
        <item x="306"/>
        <item t="default"/>
      </items>
    </pivotField>
    <pivotField dataField="1" numFmtId="164" showAll="0"/>
    <pivotField axis="axisRow" showAll="0" sortType="descending">
      <items count="7">
        <item x="2"/>
        <item x="3"/>
        <item x="5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2">
        <item x="29"/>
        <item x="23"/>
        <item x="37"/>
        <item x="13"/>
        <item x="2"/>
        <item x="33"/>
        <item x="14"/>
        <item x="6"/>
        <item x="25"/>
        <item x="9"/>
        <item x="39"/>
        <item x="12"/>
        <item x="15"/>
        <item x="30"/>
        <item x="21"/>
        <item x="38"/>
        <item x="0"/>
        <item x="17"/>
        <item x="34"/>
        <item x="3"/>
        <item x="16"/>
        <item x="19"/>
        <item x="8"/>
        <item x="31"/>
        <item x="22"/>
        <item x="18"/>
        <item x="11"/>
        <item x="26"/>
        <item x="7"/>
        <item x="27"/>
        <item x="35"/>
        <item x="10"/>
        <item x="32"/>
        <item x="36"/>
        <item x="28"/>
        <item x="5"/>
        <item x="1"/>
        <item x="4"/>
        <item x="20"/>
        <item x="24"/>
        <item x="4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7">
    <i>
      <x v="1"/>
    </i>
    <i>
      <x v="3"/>
    </i>
    <i>
      <x/>
    </i>
    <i>
      <x v="5"/>
    </i>
    <i>
      <x v="2"/>
    </i>
    <i>
      <x v="4"/>
    </i>
    <i t="grand">
      <x/>
    </i>
  </rowItems>
  <colItems count="1">
    <i/>
  </colItems>
  <dataFields count="1">
    <dataField name="Suma de Purchase_Amount" fld="6" baseField="0" baseItem="0" numFmtId="164"/>
  </dataFields>
  <formats count="1">
    <format dxfId="0">
      <pivotArea outline="0" collapsedLevelsAreSubtotals="1" fieldPosition="0"/>
    </format>
  </formats>
  <chartFormats count="21"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6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7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7" format="2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B51822-7413-416F-9EB1-32927AF0D99E}" name="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 rowHeaderCaption="Country">
  <location ref="A3:B10" firstHeaderRow="1" firstDataRow="1" firstDataCol="1"/>
  <pivotFields count="11">
    <pivotField numFmtId="1" showAll="0"/>
    <pivotField dataField="1" showAll="0">
      <items count="237">
        <item x="78"/>
        <item x="34"/>
        <item x="230"/>
        <item x="123"/>
        <item x="211"/>
        <item x="174"/>
        <item x="125"/>
        <item x="24"/>
        <item x="177"/>
        <item x="136"/>
        <item x="135"/>
        <item x="75"/>
        <item x="56"/>
        <item x="157"/>
        <item x="91"/>
        <item x="232"/>
        <item x="15"/>
        <item x="82"/>
        <item x="1"/>
        <item x="29"/>
        <item x="234"/>
        <item x="103"/>
        <item x="193"/>
        <item x="219"/>
        <item x="132"/>
        <item x="16"/>
        <item x="225"/>
        <item x="218"/>
        <item x="203"/>
        <item x="227"/>
        <item x="102"/>
        <item x="154"/>
        <item x="170"/>
        <item x="208"/>
        <item x="189"/>
        <item x="190"/>
        <item x="188"/>
        <item x="141"/>
        <item x="44"/>
        <item x="80"/>
        <item x="207"/>
        <item x="198"/>
        <item x="130"/>
        <item x="81"/>
        <item x="96"/>
        <item x="106"/>
        <item x="205"/>
        <item x="139"/>
        <item x="43"/>
        <item x="221"/>
        <item x="55"/>
        <item x="52"/>
        <item x="146"/>
        <item x="120"/>
        <item x="49"/>
        <item x="186"/>
        <item x="112"/>
        <item x="14"/>
        <item x="84"/>
        <item x="19"/>
        <item x="167"/>
        <item x="30"/>
        <item x="171"/>
        <item x="73"/>
        <item x="61"/>
        <item x="95"/>
        <item x="134"/>
        <item x="152"/>
        <item x="172"/>
        <item x="223"/>
        <item x="226"/>
        <item x="181"/>
        <item x="196"/>
        <item x="31"/>
        <item x="4"/>
        <item x="105"/>
        <item x="60"/>
        <item x="142"/>
        <item x="121"/>
        <item x="12"/>
        <item x="41"/>
        <item x="5"/>
        <item x="151"/>
        <item x="45"/>
        <item x="162"/>
        <item x="63"/>
        <item x="126"/>
        <item x="39"/>
        <item x="197"/>
        <item x="26"/>
        <item x="50"/>
        <item x="184"/>
        <item x="0"/>
        <item x="147"/>
        <item x="76"/>
        <item x="163"/>
        <item x="83"/>
        <item x="8"/>
        <item x="149"/>
        <item x="235"/>
        <item x="20"/>
        <item x="22"/>
        <item x="71"/>
        <item x="66"/>
        <item x="65"/>
        <item x="166"/>
        <item x="21"/>
        <item x="210"/>
        <item x="85"/>
        <item x="99"/>
        <item x="111"/>
        <item x="131"/>
        <item x="97"/>
        <item x="217"/>
        <item x="133"/>
        <item x="124"/>
        <item x="173"/>
        <item x="209"/>
        <item x="57"/>
        <item x="28"/>
        <item x="182"/>
        <item x="3"/>
        <item x="214"/>
        <item x="194"/>
        <item x="98"/>
        <item x="62"/>
        <item x="25"/>
        <item x="213"/>
        <item x="206"/>
        <item x="13"/>
        <item x="176"/>
        <item x="180"/>
        <item x="107"/>
        <item x="202"/>
        <item x="27"/>
        <item x="161"/>
        <item x="192"/>
        <item x="67"/>
        <item x="127"/>
        <item x="224"/>
        <item x="70"/>
        <item x="138"/>
        <item x="36"/>
        <item x="179"/>
        <item x="100"/>
        <item x="69"/>
        <item x="108"/>
        <item x="200"/>
        <item x="46"/>
        <item x="169"/>
        <item x="165"/>
        <item x="113"/>
        <item x="185"/>
        <item x="101"/>
        <item x="119"/>
        <item x="64"/>
        <item x="74"/>
        <item x="6"/>
        <item x="201"/>
        <item x="7"/>
        <item x="10"/>
        <item x="2"/>
        <item x="159"/>
        <item x="222"/>
        <item x="72"/>
        <item x="212"/>
        <item x="88"/>
        <item x="35"/>
        <item x="33"/>
        <item x="158"/>
        <item x="54"/>
        <item x="110"/>
        <item x="143"/>
        <item x="160"/>
        <item x="129"/>
        <item x="40"/>
        <item x="93"/>
        <item x="9"/>
        <item x="115"/>
        <item x="178"/>
        <item x="79"/>
        <item x="51"/>
        <item x="42"/>
        <item x="32"/>
        <item x="175"/>
        <item x="140"/>
        <item x="17"/>
        <item x="58"/>
        <item x="229"/>
        <item x="116"/>
        <item x="109"/>
        <item x="94"/>
        <item x="104"/>
        <item x="59"/>
        <item x="137"/>
        <item x="191"/>
        <item x="145"/>
        <item x="37"/>
        <item x="47"/>
        <item x="220"/>
        <item x="114"/>
        <item x="148"/>
        <item x="195"/>
        <item x="199"/>
        <item x="53"/>
        <item x="38"/>
        <item x="92"/>
        <item x="215"/>
        <item x="183"/>
        <item x="128"/>
        <item x="77"/>
        <item x="155"/>
        <item x="90"/>
        <item x="187"/>
        <item x="144"/>
        <item x="228"/>
        <item x="89"/>
        <item x="204"/>
        <item x="231"/>
        <item x="117"/>
        <item x="150"/>
        <item x="164"/>
        <item x="122"/>
        <item x="87"/>
        <item x="68"/>
        <item x="11"/>
        <item x="48"/>
        <item x="156"/>
        <item x="168"/>
        <item x="118"/>
        <item x="18"/>
        <item x="216"/>
        <item x="23"/>
        <item x="153"/>
        <item x="86"/>
        <item x="233"/>
        <item t="default"/>
      </items>
    </pivotField>
    <pivotField numFmtId="1" showAll="0">
      <items count="43">
        <item x="13"/>
        <item x="19"/>
        <item x="28"/>
        <item x="39"/>
        <item x="11"/>
        <item x="34"/>
        <item x="2"/>
        <item x="24"/>
        <item x="0"/>
        <item x="40"/>
        <item x="8"/>
        <item x="14"/>
        <item x="38"/>
        <item x="21"/>
        <item x="27"/>
        <item x="15"/>
        <item x="25"/>
        <item x="20"/>
        <item x="35"/>
        <item x="41"/>
        <item x="31"/>
        <item x="36"/>
        <item x="37"/>
        <item x="3"/>
        <item x="22"/>
        <item x="12"/>
        <item x="32"/>
        <item x="33"/>
        <item x="18"/>
        <item x="1"/>
        <item x="16"/>
        <item x="4"/>
        <item x="30"/>
        <item x="9"/>
        <item x="23"/>
        <item x="17"/>
        <item x="6"/>
        <item x="7"/>
        <item x="29"/>
        <item x="10"/>
        <item x="26"/>
        <item x="5"/>
        <item t="default"/>
      </items>
    </pivotField>
    <pivotField showAll="0"/>
    <pivotField axis="axisRow" showAll="0" sortType="descending">
      <items count="7">
        <item x="4"/>
        <item x="3"/>
        <item x="5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406">
        <item x="2"/>
        <item x="132"/>
        <item x="166"/>
        <item x="189"/>
        <item x="307"/>
        <item x="44"/>
        <item x="234"/>
        <item x="360"/>
        <item x="145"/>
        <item x="289"/>
        <item x="258"/>
        <item x="380"/>
        <item x="74"/>
        <item x="334"/>
        <item x="213"/>
        <item x="382"/>
        <item x="255"/>
        <item x="142"/>
        <item x="232"/>
        <item x="92"/>
        <item x="14"/>
        <item x="46"/>
        <item x="353"/>
        <item x="243"/>
        <item x="67"/>
        <item x="85"/>
        <item x="84"/>
        <item x="203"/>
        <item x="208"/>
        <item x="314"/>
        <item x="17"/>
        <item x="309"/>
        <item x="272"/>
        <item x="199"/>
        <item x="349"/>
        <item x="183"/>
        <item x="96"/>
        <item x="393"/>
        <item x="346"/>
        <item x="372"/>
        <item x="268"/>
        <item x="212"/>
        <item x="111"/>
        <item x="230"/>
        <item x="221"/>
        <item x="206"/>
        <item x="336"/>
        <item x="202"/>
        <item x="269"/>
        <item x="388"/>
        <item x="238"/>
        <item x="53"/>
        <item x="254"/>
        <item x="316"/>
        <item x="319"/>
        <item x="220"/>
        <item x="200"/>
        <item x="159"/>
        <item x="216"/>
        <item x="117"/>
        <item x="352"/>
        <item x="315"/>
        <item x="292"/>
        <item x="156"/>
        <item x="261"/>
        <item x="190"/>
        <item x="113"/>
        <item x="280"/>
        <item x="146"/>
        <item x="150"/>
        <item x="172"/>
        <item x="12"/>
        <item x="19"/>
        <item x="366"/>
        <item x="262"/>
        <item x="223"/>
        <item x="52"/>
        <item x="347"/>
        <item x="81"/>
        <item x="68"/>
        <item x="402"/>
        <item x="37"/>
        <item x="305"/>
        <item x="36"/>
        <item x="395"/>
        <item x="368"/>
        <item x="77"/>
        <item x="98"/>
        <item x="171"/>
        <item x="135"/>
        <item x="400"/>
        <item x="267"/>
        <item x="217"/>
        <item x="110"/>
        <item x="134"/>
        <item x="196"/>
        <item x="298"/>
        <item x="335"/>
        <item x="185"/>
        <item x="373"/>
        <item x="55"/>
        <item x="103"/>
        <item x="351"/>
        <item x="28"/>
        <item x="50"/>
        <item x="359"/>
        <item x="327"/>
        <item x="153"/>
        <item x="181"/>
        <item x="286"/>
        <item x="401"/>
        <item x="123"/>
        <item x="377"/>
        <item x="378"/>
        <item x="182"/>
        <item x="204"/>
        <item x="80"/>
        <item x="4"/>
        <item x="69"/>
        <item x="143"/>
        <item x="279"/>
        <item x="186"/>
        <item x="364"/>
        <item x="301"/>
        <item x="376"/>
        <item x="342"/>
        <item x="195"/>
        <item x="148"/>
        <item x="10"/>
        <item x="320"/>
        <item x="83"/>
        <item x="235"/>
        <item x="79"/>
        <item x="251"/>
        <item x="394"/>
        <item x="332"/>
        <item x="137"/>
        <item x="259"/>
        <item x="118"/>
        <item x="99"/>
        <item x="141"/>
        <item x="188"/>
        <item x="101"/>
        <item x="398"/>
        <item x="392"/>
        <item x="356"/>
        <item x="58"/>
        <item x="180"/>
        <item x="82"/>
        <item x="211"/>
        <item x="282"/>
        <item x="3"/>
        <item x="275"/>
        <item x="225"/>
        <item x="252"/>
        <item x="355"/>
        <item x="297"/>
        <item x="283"/>
        <item x="27"/>
        <item x="354"/>
        <item x="90"/>
        <item x="371"/>
        <item x="384"/>
        <item x="168"/>
        <item x="66"/>
        <item x="341"/>
        <item x="362"/>
        <item x="129"/>
        <item x="30"/>
        <item x="294"/>
        <item x="6"/>
        <item x="115"/>
        <item x="218"/>
        <item x="105"/>
        <item x="163"/>
        <item x="224"/>
        <item x="125"/>
        <item x="328"/>
        <item x="207"/>
        <item x="120"/>
        <item x="397"/>
        <item x="21"/>
        <item x="264"/>
        <item x="333"/>
        <item x="236"/>
        <item x="300"/>
        <item x="198"/>
        <item x="226"/>
        <item x="348"/>
        <item x="383"/>
        <item x="324"/>
        <item x="385"/>
        <item x="290"/>
        <item x="144"/>
        <item x="121"/>
        <item x="62"/>
        <item x="140"/>
        <item x="215"/>
        <item x="367"/>
        <item x="122"/>
        <item x="219"/>
        <item x="178"/>
        <item x="170"/>
        <item x="13"/>
        <item x="47"/>
        <item x="194"/>
        <item x="152"/>
        <item x="95"/>
        <item x="187"/>
        <item x="158"/>
        <item x="248"/>
        <item x="242"/>
        <item x="184"/>
        <item x="296"/>
        <item x="127"/>
        <item x="114"/>
        <item x="116"/>
        <item x="237"/>
        <item x="399"/>
        <item x="29"/>
        <item x="278"/>
        <item x="131"/>
        <item x="124"/>
        <item x="357"/>
        <item x="245"/>
        <item x="228"/>
        <item x="97"/>
        <item x="100"/>
        <item x="89"/>
        <item x="227"/>
        <item x="5"/>
        <item x="263"/>
        <item x="108"/>
        <item x="358"/>
        <item x="210"/>
        <item x="239"/>
        <item x="281"/>
        <item x="175"/>
        <item x="193"/>
        <item x="179"/>
        <item x="361"/>
        <item x="51"/>
        <item x="1"/>
        <item x="317"/>
        <item x="266"/>
        <item x="65"/>
        <item x="391"/>
        <item x="40"/>
        <item x="244"/>
        <item x="160"/>
        <item x="162"/>
        <item x="291"/>
        <item x="191"/>
        <item x="173"/>
        <item x="133"/>
        <item x="256"/>
        <item x="88"/>
        <item x="370"/>
        <item x="102"/>
        <item x="330"/>
        <item x="365"/>
        <item x="35"/>
        <item x="164"/>
        <item x="284"/>
        <item x="107"/>
        <item x="318"/>
        <item x="24"/>
        <item x="48"/>
        <item x="165"/>
        <item x="176"/>
        <item x="344"/>
        <item x="240"/>
        <item x="379"/>
        <item x="304"/>
        <item x="151"/>
        <item x="313"/>
        <item x="295"/>
        <item x="273"/>
        <item x="233"/>
        <item x="42"/>
        <item x="87"/>
        <item x="308"/>
        <item x="16"/>
        <item x="126"/>
        <item x="70"/>
        <item x="285"/>
        <item x="350"/>
        <item x="73"/>
        <item x="250"/>
        <item x="257"/>
        <item x="343"/>
        <item x="329"/>
        <item x="177"/>
        <item x="33"/>
        <item x="78"/>
        <item x="34"/>
        <item x="38"/>
        <item x="61"/>
        <item x="147"/>
        <item x="169"/>
        <item x="104"/>
        <item x="325"/>
        <item x="241"/>
        <item x="386"/>
        <item x="43"/>
        <item x="214"/>
        <item x="25"/>
        <item x="174"/>
        <item x="338"/>
        <item x="167"/>
        <item x="59"/>
        <item x="222"/>
        <item x="331"/>
        <item x="76"/>
        <item x="11"/>
        <item x="192"/>
        <item x="390"/>
        <item x="389"/>
        <item x="106"/>
        <item x="287"/>
        <item x="197"/>
        <item x="302"/>
        <item x="404"/>
        <item x="54"/>
        <item x="381"/>
        <item x="246"/>
        <item x="41"/>
        <item x="20"/>
        <item x="32"/>
        <item x="201"/>
        <item x="22"/>
        <item x="8"/>
        <item x="57"/>
        <item x="9"/>
        <item x="265"/>
        <item x="86"/>
        <item x="345"/>
        <item x="63"/>
        <item x="91"/>
        <item x="39"/>
        <item x="93"/>
        <item x="270"/>
        <item x="229"/>
        <item x="161"/>
        <item x="387"/>
        <item x="149"/>
        <item x="231"/>
        <item x="23"/>
        <item x="15"/>
        <item x="209"/>
        <item x="31"/>
        <item x="139"/>
        <item x="56"/>
        <item x="7"/>
        <item x="369"/>
        <item x="109"/>
        <item x="253"/>
        <item x="396"/>
        <item x="375"/>
        <item x="119"/>
        <item x="303"/>
        <item x="71"/>
        <item x="403"/>
        <item x="312"/>
        <item x="247"/>
        <item x="112"/>
        <item x="136"/>
        <item x="64"/>
        <item x="60"/>
        <item x="374"/>
        <item x="340"/>
        <item x="288"/>
        <item x="326"/>
        <item x="130"/>
        <item x="339"/>
        <item x="293"/>
        <item x="45"/>
        <item x="276"/>
        <item x="323"/>
        <item x="271"/>
        <item x="311"/>
        <item x="0"/>
        <item x="310"/>
        <item x="322"/>
        <item x="337"/>
        <item x="72"/>
        <item x="128"/>
        <item x="157"/>
        <item x="363"/>
        <item x="18"/>
        <item x="154"/>
        <item x="249"/>
        <item x="155"/>
        <item x="75"/>
        <item x="138"/>
        <item x="260"/>
        <item x="205"/>
        <item x="299"/>
        <item x="94"/>
        <item x="277"/>
        <item x="321"/>
        <item x="49"/>
        <item x="26"/>
        <item x="274"/>
        <item x="306"/>
        <item t="default"/>
      </items>
    </pivotField>
    <pivotField numFmtId="164" showAll="0"/>
    <pivotField showAll="0">
      <items count="7">
        <item x="2"/>
        <item x="3"/>
        <item x="5"/>
        <item x="1"/>
        <item x="0"/>
        <item x="4"/>
        <item t="default"/>
      </items>
    </pivotField>
    <pivotField showAll="0">
      <items count="42">
        <item x="29"/>
        <item x="23"/>
        <item x="37"/>
        <item x="13"/>
        <item x="2"/>
        <item x="33"/>
        <item x="14"/>
        <item x="6"/>
        <item x="25"/>
        <item x="9"/>
        <item x="39"/>
        <item x="12"/>
        <item x="15"/>
        <item x="30"/>
        <item x="21"/>
        <item x="38"/>
        <item x="0"/>
        <item x="17"/>
        <item x="34"/>
        <item x="3"/>
        <item x="16"/>
        <item x="19"/>
        <item x="8"/>
        <item x="31"/>
        <item x="22"/>
        <item x="18"/>
        <item x="11"/>
        <item x="26"/>
        <item x="7"/>
        <item x="27"/>
        <item x="35"/>
        <item x="10"/>
        <item x="32"/>
        <item x="36"/>
        <item x="28"/>
        <item x="5"/>
        <item x="1"/>
        <item x="4"/>
        <item x="20"/>
        <item x="24"/>
        <item x="4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7">
    <i>
      <x v="4"/>
    </i>
    <i>
      <x v="5"/>
    </i>
    <i>
      <x v="1"/>
    </i>
    <i>
      <x/>
    </i>
    <i>
      <x v="3"/>
    </i>
    <i>
      <x v="2"/>
    </i>
    <i t="grand">
      <x/>
    </i>
  </rowItems>
  <colItems count="1">
    <i/>
  </colItems>
  <dataFields count="1">
    <dataField name="Cantidad clientes" fld="1" subtotal="count" baseField="0" baseItem="0"/>
  </dataFields>
  <chartFormats count="7"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1AE490-313E-4342-9B71-48204AA13A64}" name="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 rowHeaderCaption="Product_Category">
  <location ref="J3:K10" firstHeaderRow="1" firstDataRow="1" firstDataCol="1"/>
  <pivotFields count="11">
    <pivotField numFmtId="1" showAll="0"/>
    <pivotField showAll="0"/>
    <pivotField numFmtId="1" showAll="0">
      <items count="43">
        <item x="13"/>
        <item x="19"/>
        <item x="28"/>
        <item x="39"/>
        <item x="11"/>
        <item x="34"/>
        <item x="2"/>
        <item x="24"/>
        <item x="0"/>
        <item x="40"/>
        <item x="8"/>
        <item x="14"/>
        <item x="38"/>
        <item x="21"/>
        <item x="27"/>
        <item x="15"/>
        <item x="25"/>
        <item x="20"/>
        <item x="35"/>
        <item x="41"/>
        <item x="31"/>
        <item x="36"/>
        <item x="37"/>
        <item x="3"/>
        <item x="22"/>
        <item x="12"/>
        <item x="32"/>
        <item x="33"/>
        <item x="18"/>
        <item x="1"/>
        <item x="16"/>
        <item x="4"/>
        <item x="30"/>
        <item x="9"/>
        <item x="23"/>
        <item x="17"/>
        <item x="6"/>
        <item x="7"/>
        <item x="29"/>
        <item x="10"/>
        <item x="26"/>
        <item x="5"/>
        <item t="default"/>
      </items>
    </pivotField>
    <pivotField showAll="0"/>
    <pivotField showAll="0">
      <items count="7">
        <item x="4"/>
        <item x="3"/>
        <item x="5"/>
        <item x="1"/>
        <item x="0"/>
        <item x="2"/>
        <item t="default"/>
      </items>
    </pivotField>
    <pivotField numFmtId="14" showAll="0">
      <items count="406">
        <item x="2"/>
        <item x="132"/>
        <item x="166"/>
        <item x="189"/>
        <item x="307"/>
        <item x="44"/>
        <item x="234"/>
        <item x="360"/>
        <item x="145"/>
        <item x="289"/>
        <item x="258"/>
        <item x="380"/>
        <item x="74"/>
        <item x="334"/>
        <item x="213"/>
        <item x="382"/>
        <item x="255"/>
        <item x="142"/>
        <item x="232"/>
        <item x="92"/>
        <item x="14"/>
        <item x="46"/>
        <item x="353"/>
        <item x="243"/>
        <item x="67"/>
        <item x="85"/>
        <item x="84"/>
        <item x="203"/>
        <item x="208"/>
        <item x="314"/>
        <item x="17"/>
        <item x="309"/>
        <item x="272"/>
        <item x="199"/>
        <item x="349"/>
        <item x="183"/>
        <item x="96"/>
        <item x="393"/>
        <item x="346"/>
        <item x="372"/>
        <item x="268"/>
        <item x="212"/>
        <item x="111"/>
        <item x="230"/>
        <item x="221"/>
        <item x="206"/>
        <item x="336"/>
        <item x="202"/>
        <item x="269"/>
        <item x="388"/>
        <item x="238"/>
        <item x="53"/>
        <item x="254"/>
        <item x="316"/>
        <item x="319"/>
        <item x="220"/>
        <item x="200"/>
        <item x="159"/>
        <item x="216"/>
        <item x="117"/>
        <item x="352"/>
        <item x="315"/>
        <item x="292"/>
        <item x="156"/>
        <item x="261"/>
        <item x="190"/>
        <item x="113"/>
        <item x="280"/>
        <item x="146"/>
        <item x="150"/>
        <item x="172"/>
        <item x="12"/>
        <item x="19"/>
        <item x="366"/>
        <item x="262"/>
        <item x="223"/>
        <item x="52"/>
        <item x="347"/>
        <item x="81"/>
        <item x="68"/>
        <item x="402"/>
        <item x="37"/>
        <item x="305"/>
        <item x="36"/>
        <item x="395"/>
        <item x="368"/>
        <item x="77"/>
        <item x="98"/>
        <item x="171"/>
        <item x="135"/>
        <item x="400"/>
        <item x="267"/>
        <item x="217"/>
        <item x="110"/>
        <item x="134"/>
        <item x="196"/>
        <item x="298"/>
        <item x="335"/>
        <item x="185"/>
        <item x="373"/>
        <item x="55"/>
        <item x="103"/>
        <item x="351"/>
        <item x="28"/>
        <item x="50"/>
        <item x="359"/>
        <item x="327"/>
        <item x="153"/>
        <item x="181"/>
        <item x="286"/>
        <item x="401"/>
        <item x="123"/>
        <item x="377"/>
        <item x="378"/>
        <item x="182"/>
        <item x="204"/>
        <item x="80"/>
        <item x="4"/>
        <item x="69"/>
        <item x="143"/>
        <item x="279"/>
        <item x="186"/>
        <item x="364"/>
        <item x="301"/>
        <item x="376"/>
        <item x="342"/>
        <item x="195"/>
        <item x="148"/>
        <item x="10"/>
        <item x="320"/>
        <item x="83"/>
        <item x="235"/>
        <item x="79"/>
        <item x="251"/>
        <item x="394"/>
        <item x="332"/>
        <item x="137"/>
        <item x="259"/>
        <item x="118"/>
        <item x="99"/>
        <item x="141"/>
        <item x="188"/>
        <item x="101"/>
        <item x="398"/>
        <item x="392"/>
        <item x="356"/>
        <item x="58"/>
        <item x="180"/>
        <item x="82"/>
        <item x="211"/>
        <item x="282"/>
        <item x="3"/>
        <item x="275"/>
        <item x="225"/>
        <item x="252"/>
        <item x="355"/>
        <item x="297"/>
        <item x="283"/>
        <item x="27"/>
        <item x="354"/>
        <item x="90"/>
        <item x="371"/>
        <item x="384"/>
        <item x="168"/>
        <item x="66"/>
        <item x="341"/>
        <item x="362"/>
        <item x="129"/>
        <item x="30"/>
        <item x="294"/>
        <item x="6"/>
        <item x="115"/>
        <item x="218"/>
        <item x="105"/>
        <item x="163"/>
        <item x="224"/>
        <item x="125"/>
        <item x="328"/>
        <item x="207"/>
        <item x="120"/>
        <item x="397"/>
        <item x="21"/>
        <item x="264"/>
        <item x="333"/>
        <item x="236"/>
        <item x="300"/>
        <item x="198"/>
        <item x="226"/>
        <item x="348"/>
        <item x="383"/>
        <item x="324"/>
        <item x="385"/>
        <item x="290"/>
        <item x="144"/>
        <item x="121"/>
        <item x="62"/>
        <item x="140"/>
        <item x="215"/>
        <item x="367"/>
        <item x="122"/>
        <item x="219"/>
        <item x="178"/>
        <item x="170"/>
        <item x="13"/>
        <item x="47"/>
        <item x="194"/>
        <item x="152"/>
        <item x="95"/>
        <item x="187"/>
        <item x="158"/>
        <item x="248"/>
        <item x="242"/>
        <item x="184"/>
        <item x="296"/>
        <item x="127"/>
        <item x="114"/>
        <item x="116"/>
        <item x="237"/>
        <item x="399"/>
        <item x="29"/>
        <item x="278"/>
        <item x="131"/>
        <item x="124"/>
        <item x="357"/>
        <item x="245"/>
        <item x="228"/>
        <item x="97"/>
        <item x="100"/>
        <item x="89"/>
        <item x="227"/>
        <item x="5"/>
        <item x="263"/>
        <item x="108"/>
        <item x="358"/>
        <item x="210"/>
        <item x="239"/>
        <item x="281"/>
        <item x="175"/>
        <item x="193"/>
        <item x="179"/>
        <item x="361"/>
        <item x="51"/>
        <item x="1"/>
        <item x="317"/>
        <item x="266"/>
        <item x="65"/>
        <item x="391"/>
        <item x="40"/>
        <item x="244"/>
        <item x="160"/>
        <item x="162"/>
        <item x="291"/>
        <item x="191"/>
        <item x="173"/>
        <item x="133"/>
        <item x="256"/>
        <item x="88"/>
        <item x="370"/>
        <item x="102"/>
        <item x="330"/>
        <item x="365"/>
        <item x="35"/>
        <item x="164"/>
        <item x="284"/>
        <item x="107"/>
        <item x="318"/>
        <item x="24"/>
        <item x="48"/>
        <item x="165"/>
        <item x="176"/>
        <item x="344"/>
        <item x="240"/>
        <item x="379"/>
        <item x="304"/>
        <item x="151"/>
        <item x="313"/>
        <item x="295"/>
        <item x="273"/>
        <item x="233"/>
        <item x="42"/>
        <item x="87"/>
        <item x="308"/>
        <item x="16"/>
        <item x="126"/>
        <item x="70"/>
        <item x="285"/>
        <item x="350"/>
        <item x="73"/>
        <item x="250"/>
        <item x="257"/>
        <item x="343"/>
        <item x="329"/>
        <item x="177"/>
        <item x="33"/>
        <item x="78"/>
        <item x="34"/>
        <item x="38"/>
        <item x="61"/>
        <item x="147"/>
        <item x="169"/>
        <item x="104"/>
        <item x="325"/>
        <item x="241"/>
        <item x="386"/>
        <item x="43"/>
        <item x="214"/>
        <item x="25"/>
        <item x="174"/>
        <item x="338"/>
        <item x="167"/>
        <item x="59"/>
        <item x="222"/>
        <item x="331"/>
        <item x="76"/>
        <item x="11"/>
        <item x="192"/>
        <item x="390"/>
        <item x="389"/>
        <item x="106"/>
        <item x="287"/>
        <item x="197"/>
        <item x="302"/>
        <item x="404"/>
        <item x="54"/>
        <item x="381"/>
        <item x="246"/>
        <item x="41"/>
        <item x="20"/>
        <item x="32"/>
        <item x="201"/>
        <item x="22"/>
        <item x="8"/>
        <item x="57"/>
        <item x="9"/>
        <item x="265"/>
        <item x="86"/>
        <item x="345"/>
        <item x="63"/>
        <item x="91"/>
        <item x="39"/>
        <item x="93"/>
        <item x="270"/>
        <item x="229"/>
        <item x="161"/>
        <item x="387"/>
        <item x="149"/>
        <item x="231"/>
        <item x="23"/>
        <item x="15"/>
        <item x="209"/>
        <item x="31"/>
        <item x="139"/>
        <item x="56"/>
        <item x="7"/>
        <item x="369"/>
        <item x="109"/>
        <item x="253"/>
        <item x="396"/>
        <item x="375"/>
        <item x="119"/>
        <item x="303"/>
        <item x="71"/>
        <item x="403"/>
        <item x="312"/>
        <item x="247"/>
        <item x="112"/>
        <item x="136"/>
        <item x="64"/>
        <item x="60"/>
        <item x="374"/>
        <item x="340"/>
        <item x="288"/>
        <item x="326"/>
        <item x="130"/>
        <item x="339"/>
        <item x="293"/>
        <item x="45"/>
        <item x="276"/>
        <item x="323"/>
        <item x="271"/>
        <item x="311"/>
        <item x="0"/>
        <item x="310"/>
        <item x="322"/>
        <item x="337"/>
        <item x="72"/>
        <item x="128"/>
        <item x="157"/>
        <item x="363"/>
        <item x="18"/>
        <item x="154"/>
        <item x="249"/>
        <item x="155"/>
        <item x="75"/>
        <item x="138"/>
        <item x="260"/>
        <item x="205"/>
        <item x="299"/>
        <item x="94"/>
        <item x="277"/>
        <item x="321"/>
        <item x="49"/>
        <item x="26"/>
        <item x="274"/>
        <item x="306"/>
        <item t="default"/>
      </items>
    </pivotField>
    <pivotField numFmtId="164" showAll="0"/>
    <pivotField axis="axisRow" showAll="0">
      <items count="7">
        <item x="2"/>
        <item x="3"/>
        <item x="5"/>
        <item x="1"/>
        <item x="0"/>
        <item x="4"/>
        <item t="default"/>
      </items>
    </pivotField>
    <pivotField dataField="1" showAll="0">
      <items count="42">
        <item x="29"/>
        <item x="23"/>
        <item x="37"/>
        <item x="13"/>
        <item x="2"/>
        <item x="33"/>
        <item x="14"/>
        <item x="6"/>
        <item x="25"/>
        <item x="9"/>
        <item x="39"/>
        <item x="12"/>
        <item x="15"/>
        <item x="30"/>
        <item x="21"/>
        <item x="38"/>
        <item x="0"/>
        <item x="17"/>
        <item x="34"/>
        <item x="3"/>
        <item x="16"/>
        <item x="19"/>
        <item x="8"/>
        <item x="31"/>
        <item x="22"/>
        <item x="18"/>
        <item x="11"/>
        <item x="26"/>
        <item x="7"/>
        <item x="27"/>
        <item x="35"/>
        <item x="10"/>
        <item x="32"/>
        <item x="36"/>
        <item x="28"/>
        <item x="5"/>
        <item x="1"/>
        <item x="4"/>
        <item x="20"/>
        <item x="24"/>
        <item x="4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Promedio de Rating" fld="8" subtotal="average" baseField="7" baseItem="0" numFmtId="2"/>
  </dataFields>
  <formats count="1">
    <format dxfId="1">
      <pivotArea outline="0" collapsedLevelsAreSubtotals="1" fieldPosition="0"/>
    </format>
  </formats>
  <chartFormats count="1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B42CE3-9D07-47B6-A5DF-68C03766D442}" name="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2" rowHeaderCaption="Country">
  <location ref="D15:E22" firstHeaderRow="1" firstDataRow="1" firstDataCol="1"/>
  <pivotFields count="11">
    <pivotField numFmtId="1" showAll="0"/>
    <pivotField showAll="0"/>
    <pivotField numFmtId="1" showAll="0">
      <items count="43">
        <item x="13"/>
        <item x="19"/>
        <item x="28"/>
        <item x="39"/>
        <item x="11"/>
        <item x="34"/>
        <item x="2"/>
        <item x="24"/>
        <item x="0"/>
        <item x="40"/>
        <item x="8"/>
        <item x="14"/>
        <item x="38"/>
        <item x="21"/>
        <item x="27"/>
        <item x="15"/>
        <item x="25"/>
        <item x="20"/>
        <item x="35"/>
        <item x="41"/>
        <item x="31"/>
        <item x="36"/>
        <item x="37"/>
        <item x="3"/>
        <item x="22"/>
        <item x="12"/>
        <item x="32"/>
        <item x="33"/>
        <item x="18"/>
        <item x="1"/>
        <item x="16"/>
        <item x="4"/>
        <item x="30"/>
        <item x="9"/>
        <item x="23"/>
        <item x="17"/>
        <item x="6"/>
        <item x="7"/>
        <item x="29"/>
        <item x="10"/>
        <item x="26"/>
        <item x="5"/>
        <item t="default"/>
      </items>
    </pivotField>
    <pivotField showAll="0"/>
    <pivotField axis="axisRow" showAll="0">
      <items count="7">
        <item x="4"/>
        <item x="3"/>
        <item x="5"/>
        <item x="1"/>
        <item x="0"/>
        <item x="2"/>
        <item t="default"/>
      </items>
    </pivotField>
    <pivotField numFmtId="14" showAll="0">
      <items count="406">
        <item x="2"/>
        <item x="132"/>
        <item x="166"/>
        <item x="189"/>
        <item x="307"/>
        <item x="44"/>
        <item x="234"/>
        <item x="360"/>
        <item x="145"/>
        <item x="289"/>
        <item x="258"/>
        <item x="380"/>
        <item x="74"/>
        <item x="334"/>
        <item x="213"/>
        <item x="382"/>
        <item x="255"/>
        <item x="142"/>
        <item x="232"/>
        <item x="92"/>
        <item x="14"/>
        <item x="46"/>
        <item x="353"/>
        <item x="243"/>
        <item x="67"/>
        <item x="85"/>
        <item x="84"/>
        <item x="203"/>
        <item x="208"/>
        <item x="314"/>
        <item x="17"/>
        <item x="309"/>
        <item x="272"/>
        <item x="199"/>
        <item x="349"/>
        <item x="183"/>
        <item x="96"/>
        <item x="393"/>
        <item x="346"/>
        <item x="372"/>
        <item x="268"/>
        <item x="212"/>
        <item x="111"/>
        <item x="230"/>
        <item x="221"/>
        <item x="206"/>
        <item x="336"/>
        <item x="202"/>
        <item x="269"/>
        <item x="388"/>
        <item x="238"/>
        <item x="53"/>
        <item x="254"/>
        <item x="316"/>
        <item x="319"/>
        <item x="220"/>
        <item x="200"/>
        <item x="159"/>
        <item x="216"/>
        <item x="117"/>
        <item x="352"/>
        <item x="315"/>
        <item x="292"/>
        <item x="156"/>
        <item x="261"/>
        <item x="190"/>
        <item x="113"/>
        <item x="280"/>
        <item x="146"/>
        <item x="150"/>
        <item x="172"/>
        <item x="12"/>
        <item x="19"/>
        <item x="366"/>
        <item x="262"/>
        <item x="223"/>
        <item x="52"/>
        <item x="347"/>
        <item x="81"/>
        <item x="68"/>
        <item x="402"/>
        <item x="37"/>
        <item x="305"/>
        <item x="36"/>
        <item x="395"/>
        <item x="368"/>
        <item x="77"/>
        <item x="98"/>
        <item x="171"/>
        <item x="135"/>
        <item x="400"/>
        <item x="267"/>
        <item x="217"/>
        <item x="110"/>
        <item x="134"/>
        <item x="196"/>
        <item x="298"/>
        <item x="335"/>
        <item x="185"/>
        <item x="373"/>
        <item x="55"/>
        <item x="103"/>
        <item x="351"/>
        <item x="28"/>
        <item x="50"/>
        <item x="359"/>
        <item x="327"/>
        <item x="153"/>
        <item x="181"/>
        <item x="286"/>
        <item x="401"/>
        <item x="123"/>
        <item x="377"/>
        <item x="378"/>
        <item x="182"/>
        <item x="204"/>
        <item x="80"/>
        <item x="4"/>
        <item x="69"/>
        <item x="143"/>
        <item x="279"/>
        <item x="186"/>
        <item x="364"/>
        <item x="301"/>
        <item x="376"/>
        <item x="342"/>
        <item x="195"/>
        <item x="148"/>
        <item x="10"/>
        <item x="320"/>
        <item x="83"/>
        <item x="235"/>
        <item x="79"/>
        <item x="251"/>
        <item x="394"/>
        <item x="332"/>
        <item x="137"/>
        <item x="259"/>
        <item x="118"/>
        <item x="99"/>
        <item x="141"/>
        <item x="188"/>
        <item x="101"/>
        <item x="398"/>
        <item x="392"/>
        <item x="356"/>
        <item x="58"/>
        <item x="180"/>
        <item x="82"/>
        <item x="211"/>
        <item x="282"/>
        <item x="3"/>
        <item x="275"/>
        <item x="225"/>
        <item x="252"/>
        <item x="355"/>
        <item x="297"/>
        <item x="283"/>
        <item x="27"/>
        <item x="354"/>
        <item x="90"/>
        <item x="371"/>
        <item x="384"/>
        <item x="168"/>
        <item x="66"/>
        <item x="341"/>
        <item x="362"/>
        <item x="129"/>
        <item x="30"/>
        <item x="294"/>
        <item x="6"/>
        <item x="115"/>
        <item x="218"/>
        <item x="105"/>
        <item x="163"/>
        <item x="224"/>
        <item x="125"/>
        <item x="328"/>
        <item x="207"/>
        <item x="120"/>
        <item x="397"/>
        <item x="21"/>
        <item x="264"/>
        <item x="333"/>
        <item x="236"/>
        <item x="300"/>
        <item x="198"/>
        <item x="226"/>
        <item x="348"/>
        <item x="383"/>
        <item x="324"/>
        <item x="385"/>
        <item x="290"/>
        <item x="144"/>
        <item x="121"/>
        <item x="62"/>
        <item x="140"/>
        <item x="215"/>
        <item x="367"/>
        <item x="122"/>
        <item x="219"/>
        <item x="178"/>
        <item x="170"/>
        <item x="13"/>
        <item x="47"/>
        <item x="194"/>
        <item x="152"/>
        <item x="95"/>
        <item x="187"/>
        <item x="158"/>
        <item x="248"/>
        <item x="242"/>
        <item x="184"/>
        <item x="296"/>
        <item x="127"/>
        <item x="114"/>
        <item x="116"/>
        <item x="237"/>
        <item x="399"/>
        <item x="29"/>
        <item x="278"/>
        <item x="131"/>
        <item x="124"/>
        <item x="357"/>
        <item x="245"/>
        <item x="228"/>
        <item x="97"/>
        <item x="100"/>
        <item x="89"/>
        <item x="227"/>
        <item x="5"/>
        <item x="263"/>
        <item x="108"/>
        <item x="358"/>
        <item x="210"/>
        <item x="239"/>
        <item x="281"/>
        <item x="175"/>
        <item x="193"/>
        <item x="179"/>
        <item x="361"/>
        <item x="51"/>
        <item x="1"/>
        <item x="317"/>
        <item x="266"/>
        <item x="65"/>
        <item x="391"/>
        <item x="40"/>
        <item x="244"/>
        <item x="160"/>
        <item x="162"/>
        <item x="291"/>
        <item x="191"/>
        <item x="173"/>
        <item x="133"/>
        <item x="256"/>
        <item x="88"/>
        <item x="370"/>
        <item x="102"/>
        <item x="330"/>
        <item x="365"/>
        <item x="35"/>
        <item x="164"/>
        <item x="284"/>
        <item x="107"/>
        <item x="318"/>
        <item x="24"/>
        <item x="48"/>
        <item x="165"/>
        <item x="176"/>
        <item x="344"/>
        <item x="240"/>
        <item x="379"/>
        <item x="304"/>
        <item x="151"/>
        <item x="313"/>
        <item x="295"/>
        <item x="273"/>
        <item x="233"/>
        <item x="42"/>
        <item x="87"/>
        <item x="308"/>
        <item x="16"/>
        <item x="126"/>
        <item x="70"/>
        <item x="285"/>
        <item x="350"/>
        <item x="73"/>
        <item x="250"/>
        <item x="257"/>
        <item x="343"/>
        <item x="329"/>
        <item x="177"/>
        <item x="33"/>
        <item x="78"/>
        <item x="34"/>
        <item x="38"/>
        <item x="61"/>
        <item x="147"/>
        <item x="169"/>
        <item x="104"/>
        <item x="325"/>
        <item x="241"/>
        <item x="386"/>
        <item x="43"/>
        <item x="214"/>
        <item x="25"/>
        <item x="174"/>
        <item x="338"/>
        <item x="167"/>
        <item x="59"/>
        <item x="222"/>
        <item x="331"/>
        <item x="76"/>
        <item x="11"/>
        <item x="192"/>
        <item x="390"/>
        <item x="389"/>
        <item x="106"/>
        <item x="287"/>
        <item x="197"/>
        <item x="302"/>
        <item x="404"/>
        <item x="54"/>
        <item x="381"/>
        <item x="246"/>
        <item x="41"/>
        <item x="20"/>
        <item x="32"/>
        <item x="201"/>
        <item x="22"/>
        <item x="8"/>
        <item x="57"/>
        <item x="9"/>
        <item x="265"/>
        <item x="86"/>
        <item x="345"/>
        <item x="63"/>
        <item x="91"/>
        <item x="39"/>
        <item x="93"/>
        <item x="270"/>
        <item x="229"/>
        <item x="161"/>
        <item x="387"/>
        <item x="149"/>
        <item x="231"/>
        <item x="23"/>
        <item x="15"/>
        <item x="209"/>
        <item x="31"/>
        <item x="139"/>
        <item x="56"/>
        <item x="7"/>
        <item x="369"/>
        <item x="109"/>
        <item x="253"/>
        <item x="396"/>
        <item x="375"/>
        <item x="119"/>
        <item x="303"/>
        <item x="71"/>
        <item x="403"/>
        <item x="312"/>
        <item x="247"/>
        <item x="112"/>
        <item x="136"/>
        <item x="64"/>
        <item x="60"/>
        <item x="374"/>
        <item x="340"/>
        <item x="288"/>
        <item x="326"/>
        <item x="130"/>
        <item x="339"/>
        <item x="293"/>
        <item x="45"/>
        <item x="276"/>
        <item x="323"/>
        <item x="271"/>
        <item x="311"/>
        <item x="0"/>
        <item x="310"/>
        <item x="322"/>
        <item x="337"/>
        <item x="72"/>
        <item x="128"/>
        <item x="157"/>
        <item x="363"/>
        <item x="18"/>
        <item x="154"/>
        <item x="249"/>
        <item x="155"/>
        <item x="75"/>
        <item x="138"/>
        <item x="260"/>
        <item x="205"/>
        <item x="299"/>
        <item x="94"/>
        <item x="277"/>
        <item x="321"/>
        <item x="49"/>
        <item x="26"/>
        <item x="274"/>
        <item x="306"/>
        <item t="default"/>
      </items>
    </pivotField>
    <pivotField dataField="1" numFmtId="164" showAll="0"/>
    <pivotField showAll="0">
      <items count="7">
        <item x="2"/>
        <item x="3"/>
        <item x="5"/>
        <item x="1"/>
        <item x="0"/>
        <item x="4"/>
        <item t="default"/>
      </items>
    </pivotField>
    <pivotField showAll="0">
      <items count="42">
        <item x="29"/>
        <item x="23"/>
        <item x="37"/>
        <item x="13"/>
        <item x="2"/>
        <item x="33"/>
        <item x="14"/>
        <item x="6"/>
        <item x="25"/>
        <item x="9"/>
        <item x="39"/>
        <item x="12"/>
        <item x="15"/>
        <item x="30"/>
        <item x="21"/>
        <item x="38"/>
        <item x="0"/>
        <item x="17"/>
        <item x="34"/>
        <item x="3"/>
        <item x="16"/>
        <item x="19"/>
        <item x="8"/>
        <item x="31"/>
        <item x="22"/>
        <item x="18"/>
        <item x="11"/>
        <item x="26"/>
        <item x="7"/>
        <item x="27"/>
        <item x="35"/>
        <item x="10"/>
        <item x="32"/>
        <item x="36"/>
        <item x="28"/>
        <item x="5"/>
        <item x="1"/>
        <item x="4"/>
        <item x="20"/>
        <item x="24"/>
        <item x="4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Purchase_Amount" fld="6" baseField="0" baseItem="0" numFmtId="164"/>
  </dataFields>
  <formats count="1">
    <format dxfId="2">
      <pivotArea outline="0" collapsedLevelsAreSubtotals="1" fieldPosition="0"/>
    </format>
  </formats>
  <chartFormats count="2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448897-6334-48FA-B89F-D9C989051F70}" name="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 rowHeaderCaption="Country">
  <location ref="D3:E10" firstHeaderRow="1" firstDataRow="1" firstDataCol="1"/>
  <pivotFields count="11">
    <pivotField numFmtId="1" showAll="0"/>
    <pivotField showAll="0"/>
    <pivotField numFmtId="1" showAll="0"/>
    <pivotField showAll="0"/>
    <pivotField axis="axisRow" showAll="0">
      <items count="7">
        <item x="4"/>
        <item x="3"/>
        <item x="5"/>
        <item x="1"/>
        <item x="0"/>
        <item x="2"/>
        <item t="default"/>
      </items>
    </pivotField>
    <pivotField numFmtId="14" showAll="0">
      <items count="406">
        <item x="2"/>
        <item x="132"/>
        <item x="166"/>
        <item x="189"/>
        <item x="307"/>
        <item x="44"/>
        <item x="234"/>
        <item x="360"/>
        <item x="145"/>
        <item x="289"/>
        <item x="258"/>
        <item x="380"/>
        <item x="74"/>
        <item x="334"/>
        <item x="213"/>
        <item x="382"/>
        <item x="255"/>
        <item x="142"/>
        <item x="232"/>
        <item x="92"/>
        <item x="14"/>
        <item x="46"/>
        <item x="353"/>
        <item x="243"/>
        <item x="67"/>
        <item x="85"/>
        <item x="84"/>
        <item x="203"/>
        <item x="208"/>
        <item x="314"/>
        <item x="17"/>
        <item x="309"/>
        <item x="272"/>
        <item x="199"/>
        <item x="349"/>
        <item x="183"/>
        <item x="96"/>
        <item x="393"/>
        <item x="346"/>
        <item x="372"/>
        <item x="268"/>
        <item x="212"/>
        <item x="111"/>
        <item x="230"/>
        <item x="221"/>
        <item x="206"/>
        <item x="336"/>
        <item x="202"/>
        <item x="269"/>
        <item x="388"/>
        <item x="238"/>
        <item x="53"/>
        <item x="254"/>
        <item x="316"/>
        <item x="319"/>
        <item x="220"/>
        <item x="200"/>
        <item x="159"/>
        <item x="216"/>
        <item x="117"/>
        <item x="352"/>
        <item x="315"/>
        <item x="292"/>
        <item x="156"/>
        <item x="261"/>
        <item x="190"/>
        <item x="113"/>
        <item x="280"/>
        <item x="146"/>
        <item x="150"/>
        <item x="172"/>
        <item x="12"/>
        <item x="19"/>
        <item x="366"/>
        <item x="262"/>
        <item x="223"/>
        <item x="52"/>
        <item x="347"/>
        <item x="81"/>
        <item x="68"/>
        <item x="402"/>
        <item x="37"/>
        <item x="305"/>
        <item x="36"/>
        <item x="395"/>
        <item x="368"/>
        <item x="77"/>
        <item x="98"/>
        <item x="171"/>
        <item x="135"/>
        <item x="400"/>
        <item x="267"/>
        <item x="217"/>
        <item x="110"/>
        <item x="134"/>
        <item x="196"/>
        <item x="298"/>
        <item x="335"/>
        <item x="185"/>
        <item x="373"/>
        <item x="55"/>
        <item x="103"/>
        <item x="351"/>
        <item x="28"/>
        <item x="50"/>
        <item x="359"/>
        <item x="327"/>
        <item x="153"/>
        <item x="181"/>
        <item x="286"/>
        <item x="401"/>
        <item x="123"/>
        <item x="377"/>
        <item x="378"/>
        <item x="182"/>
        <item x="204"/>
        <item x="80"/>
        <item x="4"/>
        <item x="69"/>
        <item x="143"/>
        <item x="279"/>
        <item x="186"/>
        <item x="364"/>
        <item x="301"/>
        <item x="376"/>
        <item x="342"/>
        <item x="195"/>
        <item x="148"/>
        <item x="10"/>
        <item x="320"/>
        <item x="83"/>
        <item x="235"/>
        <item x="79"/>
        <item x="251"/>
        <item x="394"/>
        <item x="332"/>
        <item x="137"/>
        <item x="259"/>
        <item x="118"/>
        <item x="99"/>
        <item x="141"/>
        <item x="188"/>
        <item x="101"/>
        <item x="398"/>
        <item x="392"/>
        <item x="356"/>
        <item x="58"/>
        <item x="180"/>
        <item x="82"/>
        <item x="211"/>
        <item x="282"/>
        <item x="3"/>
        <item x="275"/>
        <item x="225"/>
        <item x="252"/>
        <item x="355"/>
        <item x="297"/>
        <item x="283"/>
        <item x="27"/>
        <item x="354"/>
        <item x="90"/>
        <item x="371"/>
        <item x="384"/>
        <item x="168"/>
        <item x="66"/>
        <item x="341"/>
        <item x="362"/>
        <item x="129"/>
        <item x="30"/>
        <item x="294"/>
        <item x="6"/>
        <item x="115"/>
        <item x="218"/>
        <item x="105"/>
        <item x="163"/>
        <item x="224"/>
        <item x="125"/>
        <item x="328"/>
        <item x="207"/>
        <item x="120"/>
        <item x="397"/>
        <item x="21"/>
        <item x="264"/>
        <item x="333"/>
        <item x="236"/>
        <item x="300"/>
        <item x="198"/>
        <item x="226"/>
        <item x="348"/>
        <item x="383"/>
        <item x="324"/>
        <item x="385"/>
        <item x="290"/>
        <item x="144"/>
        <item x="121"/>
        <item x="62"/>
        <item x="140"/>
        <item x="215"/>
        <item x="367"/>
        <item x="122"/>
        <item x="219"/>
        <item x="178"/>
        <item x="170"/>
        <item x="13"/>
        <item x="47"/>
        <item x="194"/>
        <item x="152"/>
        <item x="95"/>
        <item x="187"/>
        <item x="158"/>
        <item x="248"/>
        <item x="242"/>
        <item x="184"/>
        <item x="296"/>
        <item x="127"/>
        <item x="114"/>
        <item x="116"/>
        <item x="237"/>
        <item x="399"/>
        <item x="29"/>
        <item x="278"/>
        <item x="131"/>
        <item x="124"/>
        <item x="357"/>
        <item x="245"/>
        <item x="228"/>
        <item x="97"/>
        <item x="100"/>
        <item x="89"/>
        <item x="227"/>
        <item x="5"/>
        <item x="263"/>
        <item x="108"/>
        <item x="358"/>
        <item x="210"/>
        <item x="239"/>
        <item x="281"/>
        <item x="175"/>
        <item x="193"/>
        <item x="179"/>
        <item x="361"/>
        <item x="51"/>
        <item x="1"/>
        <item x="317"/>
        <item x="266"/>
        <item x="65"/>
        <item x="391"/>
        <item x="40"/>
        <item x="244"/>
        <item x="160"/>
        <item x="162"/>
        <item x="291"/>
        <item x="191"/>
        <item x="173"/>
        <item x="133"/>
        <item x="256"/>
        <item x="88"/>
        <item x="370"/>
        <item x="102"/>
        <item x="330"/>
        <item x="365"/>
        <item x="35"/>
        <item x="164"/>
        <item x="284"/>
        <item x="107"/>
        <item x="318"/>
        <item x="24"/>
        <item x="48"/>
        <item x="165"/>
        <item x="176"/>
        <item x="344"/>
        <item x="240"/>
        <item x="379"/>
        <item x="304"/>
        <item x="151"/>
        <item x="313"/>
        <item x="295"/>
        <item x="273"/>
        <item x="233"/>
        <item x="42"/>
        <item x="87"/>
        <item x="308"/>
        <item x="16"/>
        <item x="126"/>
        <item x="70"/>
        <item x="285"/>
        <item x="350"/>
        <item x="73"/>
        <item x="250"/>
        <item x="257"/>
        <item x="343"/>
        <item x="329"/>
        <item x="177"/>
        <item x="33"/>
        <item x="78"/>
        <item x="34"/>
        <item x="38"/>
        <item x="61"/>
        <item x="147"/>
        <item x="169"/>
        <item x="104"/>
        <item x="325"/>
        <item x="241"/>
        <item x="386"/>
        <item x="43"/>
        <item x="214"/>
        <item x="25"/>
        <item x="174"/>
        <item x="338"/>
        <item x="167"/>
        <item x="59"/>
        <item x="222"/>
        <item x="331"/>
        <item x="76"/>
        <item x="11"/>
        <item x="192"/>
        <item x="390"/>
        <item x="389"/>
        <item x="106"/>
        <item x="287"/>
        <item x="197"/>
        <item x="302"/>
        <item x="404"/>
        <item x="54"/>
        <item x="381"/>
        <item x="246"/>
        <item x="41"/>
        <item x="20"/>
        <item x="32"/>
        <item x="201"/>
        <item x="22"/>
        <item x="8"/>
        <item x="57"/>
        <item x="9"/>
        <item x="265"/>
        <item x="86"/>
        <item x="345"/>
        <item x="63"/>
        <item x="91"/>
        <item x="39"/>
        <item x="93"/>
        <item x="270"/>
        <item x="229"/>
        <item x="161"/>
        <item x="387"/>
        <item x="149"/>
        <item x="231"/>
        <item x="23"/>
        <item x="15"/>
        <item x="209"/>
        <item x="31"/>
        <item x="139"/>
        <item x="56"/>
        <item x="7"/>
        <item x="369"/>
        <item x="109"/>
        <item x="253"/>
        <item x="396"/>
        <item x="375"/>
        <item x="119"/>
        <item x="303"/>
        <item x="71"/>
        <item x="403"/>
        <item x="312"/>
        <item x="247"/>
        <item x="112"/>
        <item x="136"/>
        <item x="64"/>
        <item x="60"/>
        <item x="374"/>
        <item x="340"/>
        <item x="288"/>
        <item x="326"/>
        <item x="130"/>
        <item x="339"/>
        <item x="293"/>
        <item x="45"/>
        <item x="276"/>
        <item x="323"/>
        <item x="271"/>
        <item x="311"/>
        <item x="0"/>
        <item x="310"/>
        <item x="322"/>
        <item x="337"/>
        <item x="72"/>
        <item x="128"/>
        <item x="157"/>
        <item x="363"/>
        <item x="18"/>
        <item x="154"/>
        <item x="249"/>
        <item x="155"/>
        <item x="75"/>
        <item x="138"/>
        <item x="260"/>
        <item x="205"/>
        <item x="299"/>
        <item x="94"/>
        <item x="277"/>
        <item x="321"/>
        <item x="49"/>
        <item x="26"/>
        <item x="274"/>
        <item x="306"/>
        <item t="default"/>
      </items>
    </pivotField>
    <pivotField dataField="1" numFmtId="164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Promedio de Purchase_Amount" fld="6" subtotal="average" baseField="4" baseItem="0" numFmtId="165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1EBD4B-C807-4D4D-9319-35309CF490CE}" name="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Gender">
  <location ref="A15:B18" firstHeaderRow="1" firstDataRow="1" firstDataCol="1"/>
  <pivotFields count="11">
    <pivotField numFmtId="1" showAll="0"/>
    <pivotField showAll="0"/>
    <pivotField numFmtId="1" showAll="0"/>
    <pivotField axis="axisRow" dataField="1" showAll="0">
      <items count="3">
        <item x="0"/>
        <item x="1"/>
        <item t="default"/>
      </items>
    </pivotField>
    <pivotField showAll="0"/>
    <pivotField numFmtId="14" showAll="0">
      <items count="406">
        <item x="2"/>
        <item x="132"/>
        <item x="166"/>
        <item x="189"/>
        <item x="307"/>
        <item x="44"/>
        <item x="234"/>
        <item x="360"/>
        <item x="145"/>
        <item x="289"/>
        <item x="258"/>
        <item x="380"/>
        <item x="74"/>
        <item x="334"/>
        <item x="213"/>
        <item x="382"/>
        <item x="255"/>
        <item x="142"/>
        <item x="232"/>
        <item x="92"/>
        <item x="14"/>
        <item x="46"/>
        <item x="353"/>
        <item x="243"/>
        <item x="67"/>
        <item x="85"/>
        <item x="84"/>
        <item x="203"/>
        <item x="208"/>
        <item x="314"/>
        <item x="17"/>
        <item x="309"/>
        <item x="272"/>
        <item x="199"/>
        <item x="349"/>
        <item x="183"/>
        <item x="96"/>
        <item x="393"/>
        <item x="346"/>
        <item x="372"/>
        <item x="268"/>
        <item x="212"/>
        <item x="111"/>
        <item x="230"/>
        <item x="221"/>
        <item x="206"/>
        <item x="336"/>
        <item x="202"/>
        <item x="269"/>
        <item x="388"/>
        <item x="238"/>
        <item x="53"/>
        <item x="254"/>
        <item x="316"/>
        <item x="319"/>
        <item x="220"/>
        <item x="200"/>
        <item x="159"/>
        <item x="216"/>
        <item x="117"/>
        <item x="352"/>
        <item x="315"/>
        <item x="292"/>
        <item x="156"/>
        <item x="261"/>
        <item x="190"/>
        <item x="113"/>
        <item x="280"/>
        <item x="146"/>
        <item x="150"/>
        <item x="172"/>
        <item x="12"/>
        <item x="19"/>
        <item x="366"/>
        <item x="262"/>
        <item x="223"/>
        <item x="52"/>
        <item x="347"/>
        <item x="81"/>
        <item x="68"/>
        <item x="402"/>
        <item x="37"/>
        <item x="305"/>
        <item x="36"/>
        <item x="395"/>
        <item x="368"/>
        <item x="77"/>
        <item x="98"/>
        <item x="171"/>
        <item x="135"/>
        <item x="400"/>
        <item x="267"/>
        <item x="217"/>
        <item x="110"/>
        <item x="134"/>
        <item x="196"/>
        <item x="298"/>
        <item x="335"/>
        <item x="185"/>
        <item x="373"/>
        <item x="55"/>
        <item x="103"/>
        <item x="351"/>
        <item x="28"/>
        <item x="50"/>
        <item x="359"/>
        <item x="327"/>
        <item x="153"/>
        <item x="181"/>
        <item x="286"/>
        <item x="401"/>
        <item x="123"/>
        <item x="377"/>
        <item x="378"/>
        <item x="182"/>
        <item x="204"/>
        <item x="80"/>
        <item x="4"/>
        <item x="69"/>
        <item x="143"/>
        <item x="279"/>
        <item x="186"/>
        <item x="364"/>
        <item x="301"/>
        <item x="376"/>
        <item x="342"/>
        <item x="195"/>
        <item x="148"/>
        <item x="10"/>
        <item x="320"/>
        <item x="83"/>
        <item x="235"/>
        <item x="79"/>
        <item x="251"/>
        <item x="394"/>
        <item x="332"/>
        <item x="137"/>
        <item x="259"/>
        <item x="118"/>
        <item x="99"/>
        <item x="141"/>
        <item x="188"/>
        <item x="101"/>
        <item x="398"/>
        <item x="392"/>
        <item x="356"/>
        <item x="58"/>
        <item x="180"/>
        <item x="82"/>
        <item x="211"/>
        <item x="282"/>
        <item x="3"/>
        <item x="275"/>
        <item x="225"/>
        <item x="252"/>
        <item x="355"/>
        <item x="297"/>
        <item x="283"/>
        <item x="27"/>
        <item x="354"/>
        <item x="90"/>
        <item x="371"/>
        <item x="384"/>
        <item x="168"/>
        <item x="66"/>
        <item x="341"/>
        <item x="362"/>
        <item x="129"/>
        <item x="30"/>
        <item x="294"/>
        <item x="6"/>
        <item x="115"/>
        <item x="218"/>
        <item x="105"/>
        <item x="163"/>
        <item x="224"/>
        <item x="125"/>
        <item x="328"/>
        <item x="207"/>
        <item x="120"/>
        <item x="397"/>
        <item x="21"/>
        <item x="264"/>
        <item x="333"/>
        <item x="236"/>
        <item x="300"/>
        <item x="198"/>
        <item x="226"/>
        <item x="348"/>
        <item x="383"/>
        <item x="324"/>
        <item x="385"/>
        <item x="290"/>
        <item x="144"/>
        <item x="121"/>
        <item x="62"/>
        <item x="140"/>
        <item x="215"/>
        <item x="367"/>
        <item x="122"/>
        <item x="219"/>
        <item x="178"/>
        <item x="170"/>
        <item x="13"/>
        <item x="47"/>
        <item x="194"/>
        <item x="152"/>
        <item x="95"/>
        <item x="187"/>
        <item x="158"/>
        <item x="248"/>
        <item x="242"/>
        <item x="184"/>
        <item x="296"/>
        <item x="127"/>
        <item x="114"/>
        <item x="116"/>
        <item x="237"/>
        <item x="399"/>
        <item x="29"/>
        <item x="278"/>
        <item x="131"/>
        <item x="124"/>
        <item x="357"/>
        <item x="245"/>
        <item x="228"/>
        <item x="97"/>
        <item x="100"/>
        <item x="89"/>
        <item x="227"/>
        <item x="5"/>
        <item x="263"/>
        <item x="108"/>
        <item x="358"/>
        <item x="210"/>
        <item x="239"/>
        <item x="281"/>
        <item x="175"/>
        <item x="193"/>
        <item x="179"/>
        <item x="361"/>
        <item x="51"/>
        <item x="1"/>
        <item x="317"/>
        <item x="266"/>
        <item x="65"/>
        <item x="391"/>
        <item x="40"/>
        <item x="244"/>
        <item x="160"/>
        <item x="162"/>
        <item x="291"/>
        <item x="191"/>
        <item x="173"/>
        <item x="133"/>
        <item x="256"/>
        <item x="88"/>
        <item x="370"/>
        <item x="102"/>
        <item x="330"/>
        <item x="365"/>
        <item x="35"/>
        <item x="164"/>
        <item x="284"/>
        <item x="107"/>
        <item x="318"/>
        <item x="24"/>
        <item x="48"/>
        <item x="165"/>
        <item x="176"/>
        <item x="344"/>
        <item x="240"/>
        <item x="379"/>
        <item x="304"/>
        <item x="151"/>
        <item x="313"/>
        <item x="295"/>
        <item x="273"/>
        <item x="233"/>
        <item x="42"/>
        <item x="87"/>
        <item x="308"/>
        <item x="16"/>
        <item x="126"/>
        <item x="70"/>
        <item x="285"/>
        <item x="350"/>
        <item x="73"/>
        <item x="250"/>
        <item x="257"/>
        <item x="343"/>
        <item x="329"/>
        <item x="177"/>
        <item x="33"/>
        <item x="78"/>
        <item x="34"/>
        <item x="38"/>
        <item x="61"/>
        <item x="147"/>
        <item x="169"/>
        <item x="104"/>
        <item x="325"/>
        <item x="241"/>
        <item x="386"/>
        <item x="43"/>
        <item x="214"/>
        <item x="25"/>
        <item x="174"/>
        <item x="338"/>
        <item x="167"/>
        <item x="59"/>
        <item x="222"/>
        <item x="331"/>
        <item x="76"/>
        <item x="11"/>
        <item x="192"/>
        <item x="390"/>
        <item x="389"/>
        <item x="106"/>
        <item x="287"/>
        <item x="197"/>
        <item x="302"/>
        <item x="404"/>
        <item x="54"/>
        <item x="381"/>
        <item x="246"/>
        <item x="41"/>
        <item x="20"/>
        <item x="32"/>
        <item x="201"/>
        <item x="22"/>
        <item x="8"/>
        <item x="57"/>
        <item x="9"/>
        <item x="265"/>
        <item x="86"/>
        <item x="345"/>
        <item x="63"/>
        <item x="91"/>
        <item x="39"/>
        <item x="93"/>
        <item x="270"/>
        <item x="229"/>
        <item x="161"/>
        <item x="387"/>
        <item x="149"/>
        <item x="231"/>
        <item x="23"/>
        <item x="15"/>
        <item x="209"/>
        <item x="31"/>
        <item x="139"/>
        <item x="56"/>
        <item x="7"/>
        <item x="369"/>
        <item x="109"/>
        <item x="253"/>
        <item x="396"/>
        <item x="375"/>
        <item x="119"/>
        <item x="303"/>
        <item x="71"/>
        <item x="403"/>
        <item x="312"/>
        <item x="247"/>
        <item x="112"/>
        <item x="136"/>
        <item x="64"/>
        <item x="60"/>
        <item x="374"/>
        <item x="340"/>
        <item x="288"/>
        <item x="326"/>
        <item x="130"/>
        <item x="339"/>
        <item x="293"/>
        <item x="45"/>
        <item x="276"/>
        <item x="323"/>
        <item x="271"/>
        <item x="311"/>
        <item x="0"/>
        <item x="310"/>
        <item x="322"/>
        <item x="337"/>
        <item x="72"/>
        <item x="128"/>
        <item x="157"/>
        <item x="363"/>
        <item x="18"/>
        <item x="154"/>
        <item x="249"/>
        <item x="155"/>
        <item x="75"/>
        <item x="138"/>
        <item x="260"/>
        <item x="205"/>
        <item x="299"/>
        <item x="94"/>
        <item x="277"/>
        <item x="321"/>
        <item x="49"/>
        <item x="26"/>
        <item x="274"/>
        <item x="306"/>
        <item t="default"/>
      </items>
    </pivotField>
    <pivotField numFmtId="164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uenta de Gender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A75BE5-3A20-4653-8B73-8C85146E8AE7}" name="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G15:H57" firstHeaderRow="1" firstDataRow="1" firstDataCol="1"/>
  <pivotFields count="11">
    <pivotField numFmtId="1" showAll="0" defaultSubtotal="0"/>
    <pivotField showAll="0" defaultSubtotal="0"/>
    <pivotField numFmtId="1" showAll="0" defaultSubtotal="0"/>
    <pivotField showAll="0" defaultSubtotal="0"/>
    <pivotField showAll="0" defaultSubtotal="0"/>
    <pivotField numFmtId="14" showAll="0" defaultSubtotal="0">
      <items count="405">
        <item x="2"/>
        <item x="132"/>
        <item x="166"/>
        <item x="189"/>
        <item x="307"/>
        <item x="44"/>
        <item x="234"/>
        <item x="360"/>
        <item x="145"/>
        <item x="289"/>
        <item x="258"/>
        <item x="380"/>
        <item x="74"/>
        <item x="334"/>
        <item x="213"/>
        <item x="382"/>
        <item x="255"/>
        <item x="142"/>
        <item x="232"/>
        <item x="92"/>
        <item x="14"/>
        <item x="46"/>
        <item x="353"/>
        <item x="243"/>
        <item x="67"/>
        <item x="85"/>
        <item x="84"/>
        <item x="203"/>
        <item x="208"/>
        <item x="314"/>
        <item x="17"/>
        <item x="309"/>
        <item x="272"/>
        <item x="199"/>
        <item x="349"/>
        <item x="183"/>
        <item x="96"/>
        <item x="393"/>
        <item x="346"/>
        <item x="372"/>
        <item x="268"/>
        <item x="212"/>
        <item x="111"/>
        <item x="230"/>
        <item x="221"/>
        <item x="206"/>
        <item x="336"/>
        <item x="202"/>
        <item x="269"/>
        <item x="388"/>
        <item x="238"/>
        <item x="53"/>
        <item x="254"/>
        <item x="316"/>
        <item x="319"/>
        <item x="220"/>
        <item x="200"/>
        <item x="159"/>
        <item x="216"/>
        <item x="117"/>
        <item x="352"/>
        <item x="315"/>
        <item x="292"/>
        <item x="156"/>
        <item x="261"/>
        <item x="190"/>
        <item x="113"/>
        <item x="280"/>
        <item x="146"/>
        <item x="150"/>
        <item x="172"/>
        <item x="12"/>
        <item x="19"/>
        <item x="366"/>
        <item x="262"/>
        <item x="223"/>
        <item x="52"/>
        <item x="347"/>
        <item x="81"/>
        <item x="68"/>
        <item x="402"/>
        <item x="37"/>
        <item x="305"/>
        <item x="36"/>
        <item x="395"/>
        <item x="368"/>
        <item x="77"/>
        <item x="98"/>
        <item x="171"/>
        <item x="135"/>
        <item x="400"/>
        <item x="267"/>
        <item x="217"/>
        <item x="110"/>
        <item x="134"/>
        <item x="196"/>
        <item x="298"/>
        <item x="335"/>
        <item x="185"/>
        <item x="373"/>
        <item x="55"/>
        <item x="103"/>
        <item x="351"/>
        <item x="28"/>
        <item x="50"/>
        <item x="359"/>
        <item x="327"/>
        <item x="153"/>
        <item x="181"/>
        <item x="286"/>
        <item x="401"/>
        <item x="123"/>
        <item x="377"/>
        <item x="378"/>
        <item x="182"/>
        <item x="204"/>
        <item x="80"/>
        <item x="4"/>
        <item x="69"/>
        <item x="143"/>
        <item x="279"/>
        <item x="186"/>
        <item x="364"/>
        <item x="301"/>
        <item x="376"/>
        <item x="342"/>
        <item x="195"/>
        <item x="148"/>
        <item x="10"/>
        <item x="320"/>
        <item x="83"/>
        <item x="235"/>
        <item x="79"/>
        <item x="251"/>
        <item x="394"/>
        <item x="332"/>
        <item x="137"/>
        <item x="259"/>
        <item x="118"/>
        <item x="99"/>
        <item x="141"/>
        <item x="188"/>
        <item x="101"/>
        <item x="398"/>
        <item x="392"/>
        <item x="356"/>
        <item x="58"/>
        <item x="180"/>
        <item x="82"/>
        <item x="211"/>
        <item x="282"/>
        <item x="3"/>
        <item x="275"/>
        <item x="225"/>
        <item x="252"/>
        <item x="355"/>
        <item x="297"/>
        <item x="283"/>
        <item x="27"/>
        <item x="354"/>
        <item x="90"/>
        <item x="371"/>
        <item x="384"/>
        <item x="168"/>
        <item x="66"/>
        <item x="341"/>
        <item x="362"/>
        <item x="129"/>
        <item x="30"/>
        <item x="294"/>
        <item x="6"/>
        <item x="115"/>
        <item x="218"/>
        <item x="105"/>
        <item x="163"/>
        <item x="224"/>
        <item x="125"/>
        <item x="328"/>
        <item x="207"/>
        <item x="120"/>
        <item x="397"/>
        <item x="21"/>
        <item x="264"/>
        <item x="333"/>
        <item x="236"/>
        <item x="300"/>
        <item x="198"/>
        <item x="226"/>
        <item x="348"/>
        <item x="383"/>
        <item x="324"/>
        <item x="385"/>
        <item x="290"/>
        <item x="144"/>
        <item x="121"/>
        <item x="62"/>
        <item x="140"/>
        <item x="215"/>
        <item x="367"/>
        <item x="122"/>
        <item x="219"/>
        <item x="178"/>
        <item x="170"/>
        <item x="13"/>
        <item x="47"/>
        <item x="194"/>
        <item x="152"/>
        <item x="95"/>
        <item x="187"/>
        <item x="158"/>
        <item x="248"/>
        <item x="242"/>
        <item x="184"/>
        <item x="296"/>
        <item x="127"/>
        <item x="114"/>
        <item x="116"/>
        <item x="237"/>
        <item x="399"/>
        <item x="29"/>
        <item x="278"/>
        <item x="131"/>
        <item x="124"/>
        <item x="357"/>
        <item x="245"/>
        <item x="228"/>
        <item x="97"/>
        <item x="100"/>
        <item x="89"/>
        <item x="227"/>
        <item x="5"/>
        <item x="263"/>
        <item x="108"/>
        <item x="358"/>
        <item x="210"/>
        <item x="239"/>
        <item x="281"/>
        <item x="175"/>
        <item x="193"/>
        <item x="179"/>
        <item x="361"/>
        <item x="51"/>
        <item x="1"/>
        <item x="317"/>
        <item x="266"/>
        <item x="65"/>
        <item x="391"/>
        <item x="40"/>
        <item x="244"/>
        <item x="160"/>
        <item x="162"/>
        <item x="291"/>
        <item x="191"/>
        <item x="173"/>
        <item x="133"/>
        <item x="256"/>
        <item x="88"/>
        <item x="370"/>
        <item x="102"/>
        <item x="330"/>
        <item x="365"/>
        <item x="35"/>
        <item x="164"/>
        <item x="284"/>
        <item x="107"/>
        <item x="318"/>
        <item x="24"/>
        <item x="48"/>
        <item x="165"/>
        <item x="176"/>
        <item x="344"/>
        <item x="240"/>
        <item x="379"/>
        <item x="304"/>
        <item x="151"/>
        <item x="313"/>
        <item x="295"/>
        <item x="273"/>
        <item x="233"/>
        <item x="42"/>
        <item x="87"/>
        <item x="308"/>
        <item x="16"/>
        <item x="126"/>
        <item x="70"/>
        <item x="285"/>
        <item x="350"/>
        <item x="73"/>
        <item x="250"/>
        <item x="257"/>
        <item x="343"/>
        <item x="329"/>
        <item x="177"/>
        <item x="33"/>
        <item x="78"/>
        <item x="34"/>
        <item x="38"/>
        <item x="61"/>
        <item x="147"/>
        <item x="169"/>
        <item x="104"/>
        <item x="325"/>
        <item x="241"/>
        <item x="386"/>
        <item x="43"/>
        <item x="214"/>
        <item x="25"/>
        <item x="174"/>
        <item x="338"/>
        <item x="167"/>
        <item x="59"/>
        <item x="222"/>
        <item x="331"/>
        <item x="76"/>
        <item x="11"/>
        <item x="192"/>
        <item x="390"/>
        <item x="389"/>
        <item x="106"/>
        <item x="287"/>
        <item x="197"/>
        <item x="302"/>
        <item x="404"/>
        <item x="54"/>
        <item x="381"/>
        <item x="246"/>
        <item x="41"/>
        <item x="20"/>
        <item x="32"/>
        <item x="201"/>
        <item x="22"/>
        <item x="8"/>
        <item x="57"/>
        <item x="9"/>
        <item x="265"/>
        <item x="86"/>
        <item x="345"/>
        <item x="63"/>
        <item x="91"/>
        <item x="39"/>
        <item x="93"/>
        <item x="270"/>
        <item x="229"/>
        <item x="161"/>
        <item x="387"/>
        <item x="149"/>
        <item x="231"/>
        <item x="23"/>
        <item x="15"/>
        <item x="209"/>
        <item x="31"/>
        <item x="139"/>
        <item x="56"/>
        <item x="7"/>
        <item x="369"/>
        <item x="109"/>
        <item x="253"/>
        <item x="396"/>
        <item x="375"/>
        <item x="119"/>
        <item x="303"/>
        <item x="71"/>
        <item x="403"/>
        <item x="312"/>
        <item x="247"/>
        <item x="112"/>
        <item x="136"/>
        <item x="64"/>
        <item x="60"/>
        <item x="374"/>
        <item x="340"/>
        <item x="288"/>
        <item x="326"/>
        <item x="130"/>
        <item x="339"/>
        <item x="293"/>
        <item x="45"/>
        <item x="276"/>
        <item x="323"/>
        <item x="271"/>
        <item x="311"/>
        <item x="0"/>
        <item x="310"/>
        <item x="322"/>
        <item x="337"/>
        <item x="72"/>
        <item x="128"/>
        <item x="157"/>
        <item x="363"/>
        <item x="18"/>
        <item x="154"/>
        <item x="249"/>
        <item x="155"/>
        <item x="75"/>
        <item x="138"/>
        <item x="260"/>
        <item x="205"/>
        <item x="299"/>
        <item x="94"/>
        <item x="277"/>
        <item x="321"/>
        <item x="49"/>
        <item x="26"/>
        <item x="274"/>
        <item x="306"/>
      </items>
    </pivotField>
    <pivotField dataField="1" numFmtId="164" showAll="0" defaultSubtotal="0"/>
    <pivotField showAll="0" defaultSubtotal="0"/>
    <pivotField showAll="0" defaultSubtota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2">
    <field x="10"/>
    <field x="9"/>
  </rowFields>
  <rowItems count="42">
    <i>
      <x v="1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a de Purchase_Amount" fld="6" baseField="0" baseItem="0" numFmtId="164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BAB0CE0-D4CA-49AC-9E84-BEC30325CDB8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Name" tableColumnId="2"/>
      <queryTableField id="3" name="Age" tableColumnId="3"/>
      <queryTableField id="4" name="Gender" tableColumnId="4"/>
      <queryTableField id="5" name="Country" tableColumnId="5"/>
      <queryTableField id="6" name="Join_Date" tableColumnId="6"/>
      <queryTableField id="7" name="Purchase_Amount" tableColumnId="7"/>
      <queryTableField id="8" name="Product_Category" tableColumnId="8"/>
      <queryTableField id="9" name="Rating" tableColumnId="9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untry" xr10:uid="{562E2395-8675-4966-BF79-B0493BD7FE64}" sourceName="Country">
  <pivotTables>
    <pivotTable tabId="10" name="6"/>
    <pivotTable tabId="10" name="1"/>
    <pivotTable tabId="10" name="3"/>
    <pivotTable tabId="10" name="4"/>
  </pivotTables>
  <data>
    <tabular pivotCacheId="4356644">
      <items count="6">
        <i x="4" s="1"/>
        <i x="3" s="1"/>
        <i x="5" s="1"/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_Category" xr10:uid="{B72311E4-02E7-498F-872B-F99979D6AB1D}" sourceName="Product_Category">
  <pivotTables>
    <pivotTable tabId="10" name="6"/>
    <pivotTable tabId="10" name="1"/>
    <pivotTable tabId="10" name="3"/>
    <pivotTable tabId="10" name="4"/>
  </pivotTables>
  <data>
    <tabular pivotCacheId="4356644">
      <items count="6">
        <i x="2" s="1"/>
        <i x="3" s="1"/>
        <i x="5" s="1"/>
        <i x="1" s="1"/>
        <i x="0" s="1"/>
        <i x="4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ge" xr10:uid="{296FFDC6-8565-4200-B047-3EEB3907E5BB}" sourceName="Age">
  <pivotTables>
    <pivotTable tabId="10" name="6"/>
    <pivotTable tabId="10" name="1"/>
    <pivotTable tabId="10" name="3"/>
    <pivotTable tabId="10" name="4"/>
  </pivotTables>
  <data>
    <tabular pivotCacheId="4356644">
      <items count="42">
        <i x="13" s="1"/>
        <i x="19" s="1"/>
        <i x="28" s="1"/>
        <i x="39" s="1"/>
        <i x="11" s="1"/>
        <i x="34" s="1"/>
        <i x="2" s="1"/>
        <i x="24" s="1"/>
        <i x="0" s="1"/>
        <i x="40" s="1"/>
        <i x="8" s="1"/>
        <i x="14" s="1"/>
        <i x="38" s="1"/>
        <i x="21" s="1"/>
        <i x="27" s="1"/>
        <i x="15" s="1"/>
        <i x="25" s="1"/>
        <i x="20" s="1"/>
        <i x="35" s="1"/>
        <i x="41" s="1"/>
        <i x="31" s="1"/>
        <i x="36" s="1"/>
        <i x="37" s="1"/>
        <i x="3" s="1"/>
        <i x="22" s="1"/>
        <i x="12" s="1"/>
        <i x="32" s="1"/>
        <i x="33" s="1"/>
        <i x="18" s="1"/>
        <i x="1" s="1"/>
        <i x="16" s="1"/>
        <i x="4" s="1"/>
        <i x="30" s="1"/>
        <i x="9" s="1"/>
        <i x="23" s="1"/>
        <i x="17" s="1"/>
        <i x="6" s="1"/>
        <i x="7" s="1"/>
        <i x="29" s="1"/>
        <i x="10" s="1"/>
        <i x="26" s="1"/>
        <i x="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" xr10:uid="{3CAAA6F3-19F4-4A60-9947-F40389ABC42E}" cache="SegmentaciónDeDatos_Country" caption="Country" style="SlicerStyleDark2" rowHeight="241300"/>
  <slicer name="Product_Category" xr10:uid="{F3E4A802-959A-40F4-AB51-42EA83CC7908}" cache="SegmentaciónDeDatos_Product_Category" caption="Product_Category" style="SlicerStyleDark1" rowHeight="241300"/>
  <slicer name="Age" xr10:uid="{1BA94733-16BB-4521-8557-EE57576E6B19}" cache="SegmentaciónDeDatos_Age" caption="Age" style="SlicerStyleDark6" rowHeight="241300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999661-07E4-4C86-9063-1EECACAA84DB}" name="Tabla1" displayName="Tabla1" ref="A1:I516" totalsRowShown="0" headerRowDxfId="26" dataDxfId="24" headerRowBorderDxfId="25" tableBorderDxfId="23" totalsRowBorderDxfId="22">
  <autoFilter ref="A1:I516" xr:uid="{1B999661-07E4-4C86-9063-1EECACAA84DB}"/>
  <tableColumns count="9">
    <tableColumn id="1" xr3:uid="{ED63CCB5-6E28-4077-9189-96D1D7953C9B}" name="ID" dataDxfId="21"/>
    <tableColumn id="2" xr3:uid="{C9762C89-0605-4D3B-B274-9F42C009A444}" name="Name" dataDxfId="20"/>
    <tableColumn id="3" xr3:uid="{CFEC7CA7-1D3E-4F26-BF7B-DF85EC1B3149}" name="Age" dataDxfId="19"/>
    <tableColumn id="4" xr3:uid="{438FC75F-9A27-45A7-969D-7E10077DC783}" name="Gender" dataDxfId="18"/>
    <tableColumn id="5" xr3:uid="{357ED285-96AD-4376-B5EA-57856F8B53D2}" name="Country" dataDxfId="17"/>
    <tableColumn id="6" xr3:uid="{3DBE4190-61C3-4D5A-89AC-B5534DE343F2}" name="Join_Date" dataDxfId="16"/>
    <tableColumn id="7" xr3:uid="{7AAD8E22-5032-4D32-9B50-6C4DD7623513}" name="Purchase_Amount" dataDxfId="15"/>
    <tableColumn id="8" xr3:uid="{AFD1B97D-4D34-4806-B4C0-CD7D405BCFFC}" name="Product_Category" dataDxfId="14"/>
    <tableColumn id="9" xr3:uid="{73EE2D01-AD0D-476F-B5F3-49243D482CBF}" name="Rating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F8E661-75AA-44BB-94AE-DF4F21C35545}" name="Tabla1_1" displayName="Tabla1_1" ref="A1:I485" tableType="queryTable" totalsRowShown="0">
  <autoFilter ref="A1:I485" xr:uid="{3DF8E661-75AA-44BB-94AE-DF4F21C35545}"/>
  <tableColumns count="9">
    <tableColumn id="1" xr3:uid="{D49B198B-5C3B-48A2-BF5C-4DD67A76D44A}" uniqueName="1" name="ID" queryTableFieldId="1" dataDxfId="12"/>
    <tableColumn id="2" xr3:uid="{F7892B69-C62A-4E11-A705-467F6D05CDAB}" uniqueName="2" name="Name" queryTableFieldId="2" dataDxfId="11"/>
    <tableColumn id="3" xr3:uid="{79A5617B-9F00-4E7F-8DBB-8DE4B68381F7}" uniqueName="3" name="Age" queryTableFieldId="3" dataDxfId="10"/>
    <tableColumn id="4" xr3:uid="{A159243C-F1D3-4169-8805-D12A222593C2}" uniqueName="4" name="Gender" queryTableFieldId="4" dataDxfId="9"/>
    <tableColumn id="5" xr3:uid="{99B61068-DB05-4B17-B43A-404A250A4BAF}" uniqueName="5" name="Country" queryTableFieldId="5" dataDxfId="8"/>
    <tableColumn id="6" xr3:uid="{9D37828F-5C74-41ED-9463-DD36DD304EC9}" uniqueName="6" name="Join_Date" queryTableFieldId="6" dataDxfId="7"/>
    <tableColumn id="7" xr3:uid="{2539F342-43FB-43D0-A403-2E97958A4242}" uniqueName="7" name="Purchase_Amount" queryTableFieldId="7" dataDxfId="6"/>
    <tableColumn id="8" xr3:uid="{D39A1C6C-06DF-40FA-B56F-CCA2BB98B045}" uniqueName="8" name="Product_Category" queryTableFieldId="8" dataDxfId="5"/>
    <tableColumn id="9" xr3:uid="{59581C46-1FC4-4730-B4D3-96ECC6A35D22}" uniqueName="9" name="Rating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showGridLines="0" tabSelected="1" topLeftCell="A6" zoomScaleNormal="100" workbookViewId="0">
      <selection activeCell="B25" sqref="B25"/>
    </sheetView>
  </sheetViews>
  <sheetFormatPr baseColWidth="10" defaultColWidth="8.7109375" defaultRowHeight="15.75" x14ac:dyDescent="0.25"/>
  <cols>
    <col min="1" max="1" width="4" style="38" customWidth="1"/>
    <col min="2" max="2" width="95" style="38" customWidth="1"/>
    <col min="3" max="16384" width="8.7109375" style="38"/>
  </cols>
  <sheetData>
    <row r="1" spans="1:2" ht="18.75" x14ac:dyDescent="0.3">
      <c r="A1" s="48" t="s">
        <v>1328</v>
      </c>
    </row>
    <row r="2" spans="1:2" ht="20.25" customHeight="1" x14ac:dyDescent="0.25">
      <c r="A2" s="39"/>
    </row>
    <row r="3" spans="1:2" ht="63" x14ac:dyDescent="0.25">
      <c r="B3" s="47" t="s">
        <v>1329</v>
      </c>
    </row>
    <row r="4" spans="1:2" x14ac:dyDescent="0.25">
      <c r="A4" s="39"/>
    </row>
    <row r="5" spans="1:2" ht="18.75" x14ac:dyDescent="0.3">
      <c r="A5" s="48" t="s">
        <v>1330</v>
      </c>
    </row>
    <row r="6" spans="1:2" x14ac:dyDescent="0.25">
      <c r="A6" s="40"/>
    </row>
    <row r="7" spans="1:2" x14ac:dyDescent="0.25">
      <c r="A7" s="41" t="s">
        <v>1332</v>
      </c>
    </row>
    <row r="8" spans="1:2" x14ac:dyDescent="0.25">
      <c r="A8" s="41" t="s">
        <v>1333</v>
      </c>
    </row>
    <row r="9" spans="1:2" x14ac:dyDescent="0.25">
      <c r="A9" s="41" t="s">
        <v>1334</v>
      </c>
    </row>
    <row r="10" spans="1:2" x14ac:dyDescent="0.25">
      <c r="A10" s="41" t="s">
        <v>1335</v>
      </c>
    </row>
    <row r="11" spans="1:2" x14ac:dyDescent="0.25">
      <c r="A11" s="41" t="s">
        <v>1336</v>
      </c>
    </row>
    <row r="12" spans="1:2" x14ac:dyDescent="0.25">
      <c r="A12" s="39"/>
    </row>
    <row r="13" spans="1:2" x14ac:dyDescent="0.25">
      <c r="A13" s="37" t="s">
        <v>1337</v>
      </c>
    </row>
    <row r="14" spans="1:2" x14ac:dyDescent="0.25">
      <c r="A14" s="39"/>
    </row>
    <row r="15" spans="1:2" ht="18.75" x14ac:dyDescent="0.3">
      <c r="A15" s="48" t="s">
        <v>1331</v>
      </c>
    </row>
    <row r="16" spans="1:2" x14ac:dyDescent="0.25">
      <c r="A16" s="50" t="s">
        <v>1369</v>
      </c>
    </row>
    <row r="17" spans="1:2" x14ac:dyDescent="0.25">
      <c r="B17" s="51" t="s">
        <v>1370</v>
      </c>
    </row>
    <row r="18" spans="1:2" x14ac:dyDescent="0.25">
      <c r="A18" s="41" t="s">
        <v>1338</v>
      </c>
    </row>
    <row r="19" spans="1:2" x14ac:dyDescent="0.25">
      <c r="A19" s="41" t="s">
        <v>1339</v>
      </c>
    </row>
    <row r="20" spans="1:2" x14ac:dyDescent="0.25">
      <c r="A20" s="41" t="s">
        <v>1340</v>
      </c>
    </row>
    <row r="21" spans="1:2" x14ac:dyDescent="0.25">
      <c r="A21" s="41" t="s">
        <v>1341</v>
      </c>
    </row>
    <row r="22" spans="1:2" x14ac:dyDescent="0.25">
      <c r="A22" s="41" t="s">
        <v>1342</v>
      </c>
    </row>
    <row r="23" spans="1:2" x14ac:dyDescent="0.25">
      <c r="A23" s="41" t="s">
        <v>1343</v>
      </c>
    </row>
    <row r="27" spans="1:2" ht="15.75" customHeight="1" x14ac:dyDescent="0.25"/>
    <row r="30" spans="1:2" ht="15.7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8"/>
  <sheetViews>
    <sheetView zoomScaleNormal="100" workbookViewId="0">
      <selection activeCell="G7" sqref="G7"/>
    </sheetView>
  </sheetViews>
  <sheetFormatPr baseColWidth="10" defaultColWidth="8.7109375" defaultRowHeight="15" x14ac:dyDescent="0.25"/>
  <cols>
    <col min="1" max="1" width="7.5703125" bestFit="1" customWidth="1"/>
    <col min="2" max="2" width="11.5703125" bestFit="1" customWidth="1"/>
    <col min="3" max="3" width="9.42578125" bestFit="1" customWidth="1"/>
    <col min="4" max="4" width="13.140625" bestFit="1" customWidth="1"/>
    <col min="5" max="5" width="17" bestFit="1" customWidth="1"/>
    <col min="6" max="6" width="15.5703125" bestFit="1" customWidth="1"/>
    <col min="7" max="7" width="23.85546875" bestFit="1" customWidth="1"/>
    <col min="8" max="8" width="23.7109375" bestFit="1" customWidth="1"/>
    <col min="9" max="9" width="12" bestFit="1" customWidth="1"/>
    <col min="12" max="12" width="14.42578125" bestFit="1" customWidth="1"/>
  </cols>
  <sheetData>
    <row r="1" spans="1:9" x14ac:dyDescent="0.2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3" t="s">
        <v>8</v>
      </c>
    </row>
    <row r="2" spans="1:9" x14ac:dyDescent="0.25">
      <c r="A2" s="9">
        <v>490</v>
      </c>
      <c r="B2" s="3" t="s">
        <v>9</v>
      </c>
      <c r="C2" s="3">
        <v>26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10">
        <v>2.6</v>
      </c>
    </row>
    <row r="3" spans="1:9" x14ac:dyDescent="0.25">
      <c r="A3" s="9">
        <v>430</v>
      </c>
      <c r="B3" s="3" t="s">
        <v>15</v>
      </c>
      <c r="C3" s="3">
        <v>47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10">
        <v>4.5999999999999996</v>
      </c>
    </row>
    <row r="4" spans="1:9" x14ac:dyDescent="0.25">
      <c r="A4" s="9">
        <v>83</v>
      </c>
      <c r="B4" s="3" t="s">
        <v>21</v>
      </c>
      <c r="C4" s="3">
        <v>24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10">
        <v>1.4</v>
      </c>
    </row>
    <row r="5" spans="1:9" x14ac:dyDescent="0.25">
      <c r="A5" s="9">
        <v>121</v>
      </c>
      <c r="B5" s="3" t="s">
        <v>27</v>
      </c>
      <c r="C5" s="3"/>
      <c r="D5" s="3" t="s">
        <v>28</v>
      </c>
      <c r="E5" s="3" t="s">
        <v>29</v>
      </c>
      <c r="F5" s="3" t="s">
        <v>30</v>
      </c>
      <c r="G5" s="3" t="s">
        <v>31</v>
      </c>
      <c r="H5" s="3" t="s">
        <v>32</v>
      </c>
      <c r="I5" s="10">
        <v>2.9</v>
      </c>
    </row>
    <row r="6" spans="1:9" x14ac:dyDescent="0.25">
      <c r="A6" s="9">
        <v>222</v>
      </c>
      <c r="B6" s="3" t="s">
        <v>33</v>
      </c>
      <c r="C6" s="3">
        <v>49</v>
      </c>
      <c r="D6" s="3" t="s">
        <v>28</v>
      </c>
      <c r="E6" s="3" t="s">
        <v>34</v>
      </c>
      <c r="F6" s="3" t="s">
        <v>35</v>
      </c>
      <c r="G6" s="3" t="s">
        <v>36</v>
      </c>
      <c r="H6" s="3" t="s">
        <v>37</v>
      </c>
      <c r="I6" s="10">
        <v>4.7</v>
      </c>
    </row>
    <row r="7" spans="1:9" x14ac:dyDescent="0.25">
      <c r="A7" s="9">
        <v>148</v>
      </c>
      <c r="B7" s="3" t="s">
        <v>38</v>
      </c>
      <c r="C7" s="3">
        <v>59</v>
      </c>
      <c r="D7" s="3" t="s">
        <v>39</v>
      </c>
      <c r="E7" s="3" t="s">
        <v>40</v>
      </c>
      <c r="F7" s="3" t="s">
        <v>41</v>
      </c>
      <c r="G7" s="3" t="s">
        <v>42</v>
      </c>
      <c r="H7" s="3" t="s">
        <v>37</v>
      </c>
      <c r="I7" s="10">
        <v>4.5</v>
      </c>
    </row>
    <row r="8" spans="1:9" x14ac:dyDescent="0.25">
      <c r="A8" s="9">
        <v>33</v>
      </c>
      <c r="B8" s="3" t="s">
        <v>43</v>
      </c>
      <c r="C8" s="3">
        <v>54</v>
      </c>
      <c r="D8" s="3" t="s">
        <v>28</v>
      </c>
      <c r="E8" s="3" t="s">
        <v>40</v>
      </c>
      <c r="F8" s="3" t="s">
        <v>44</v>
      </c>
      <c r="G8" s="3" t="s">
        <v>45</v>
      </c>
      <c r="H8" s="3" t="s">
        <v>46</v>
      </c>
      <c r="I8" s="10">
        <v>1.7</v>
      </c>
    </row>
    <row r="9" spans="1:9" x14ac:dyDescent="0.25">
      <c r="A9" s="9">
        <v>386</v>
      </c>
      <c r="B9" s="3" t="s">
        <v>47</v>
      </c>
      <c r="C9" s="3">
        <v>59</v>
      </c>
      <c r="D9" s="3" t="s">
        <v>48</v>
      </c>
      <c r="E9" s="3" t="s">
        <v>49</v>
      </c>
      <c r="F9" s="3" t="s">
        <v>50</v>
      </c>
      <c r="G9" s="3" t="s">
        <v>51</v>
      </c>
      <c r="H9" s="3" t="s">
        <v>52</v>
      </c>
      <c r="I9" s="10">
        <v>3.8</v>
      </c>
    </row>
    <row r="10" spans="1:9" x14ac:dyDescent="0.25">
      <c r="A10" s="9">
        <v>201</v>
      </c>
      <c r="B10" s="3" t="s">
        <v>53</v>
      </c>
      <c r="C10" s="3">
        <v>55</v>
      </c>
      <c r="D10" s="3" t="s">
        <v>54</v>
      </c>
      <c r="E10" s="3" t="s">
        <v>55</v>
      </c>
      <c r="F10" s="3" t="s">
        <v>56</v>
      </c>
      <c r="G10" s="3" t="s">
        <v>57</v>
      </c>
      <c r="H10" s="3" t="s">
        <v>26</v>
      </c>
      <c r="I10" s="10">
        <v>3.2</v>
      </c>
    </row>
    <row r="11" spans="1:9" x14ac:dyDescent="0.25">
      <c r="A11" s="9">
        <v>482</v>
      </c>
      <c r="B11" s="3" t="s">
        <v>58</v>
      </c>
      <c r="C11" s="3">
        <v>28</v>
      </c>
      <c r="D11" s="3" t="s">
        <v>59</v>
      </c>
      <c r="E11" s="3" t="s">
        <v>60</v>
      </c>
      <c r="F11" s="3" t="s">
        <v>61</v>
      </c>
      <c r="G11" s="3" t="s">
        <v>62</v>
      </c>
      <c r="H11" s="3" t="s">
        <v>63</v>
      </c>
      <c r="I11" s="10">
        <v>3.2</v>
      </c>
    </row>
    <row r="12" spans="1:9" x14ac:dyDescent="0.25">
      <c r="A12" s="9">
        <v>296</v>
      </c>
      <c r="B12" s="3" t="s">
        <v>64</v>
      </c>
      <c r="C12" s="3">
        <v>51</v>
      </c>
      <c r="D12" s="3" t="s">
        <v>16</v>
      </c>
      <c r="E12" s="3" t="s">
        <v>40</v>
      </c>
      <c r="F12" s="3" t="s">
        <v>65</v>
      </c>
      <c r="G12" s="3" t="s">
        <v>66</v>
      </c>
      <c r="H12" s="3" t="s">
        <v>67</v>
      </c>
      <c r="I12" s="10">
        <v>1.9</v>
      </c>
    </row>
    <row r="13" spans="1:9" x14ac:dyDescent="0.25">
      <c r="A13" s="9">
        <v>262</v>
      </c>
      <c r="B13" s="3" t="s">
        <v>68</v>
      </c>
      <c r="C13" s="3">
        <v>57</v>
      </c>
      <c r="D13" s="3" t="s">
        <v>22</v>
      </c>
      <c r="E13" s="3" t="s">
        <v>23</v>
      </c>
      <c r="F13" s="3" t="s">
        <v>69</v>
      </c>
      <c r="G13" s="3" t="s">
        <v>70</v>
      </c>
      <c r="H13" s="3" t="s">
        <v>37</v>
      </c>
      <c r="I13" s="10">
        <v>4.0999999999999996</v>
      </c>
    </row>
    <row r="14" spans="1:9" x14ac:dyDescent="0.25">
      <c r="A14" s="9">
        <v>434</v>
      </c>
      <c r="B14" s="3" t="s">
        <v>71</v>
      </c>
      <c r="C14" s="3">
        <v>22</v>
      </c>
      <c r="D14" s="3" t="s">
        <v>59</v>
      </c>
      <c r="E14" s="3" t="s">
        <v>72</v>
      </c>
      <c r="F14" s="3" t="s">
        <v>73</v>
      </c>
      <c r="G14" s="3" t="s">
        <v>74</v>
      </c>
      <c r="H14" s="3" t="s">
        <v>75</v>
      </c>
      <c r="I14" s="10">
        <v>3.6</v>
      </c>
    </row>
    <row r="15" spans="1:9" x14ac:dyDescent="0.25">
      <c r="A15" s="9">
        <v>475</v>
      </c>
      <c r="B15" s="3" t="s">
        <v>76</v>
      </c>
      <c r="C15" s="3">
        <v>43</v>
      </c>
      <c r="D15" s="3" t="s">
        <v>59</v>
      </c>
      <c r="E15" s="3" t="s">
        <v>60</v>
      </c>
      <c r="F15" s="3" t="s">
        <v>77</v>
      </c>
      <c r="G15" s="3" t="s">
        <v>78</v>
      </c>
      <c r="H15" s="3" t="s">
        <v>79</v>
      </c>
      <c r="I15" s="10">
        <v>1.4</v>
      </c>
    </row>
    <row r="16" spans="1:9" x14ac:dyDescent="0.25">
      <c r="A16" s="9">
        <v>460</v>
      </c>
      <c r="B16" s="3" t="s">
        <v>80</v>
      </c>
      <c r="C16" s="3">
        <v>18</v>
      </c>
      <c r="D16" s="3" t="s">
        <v>28</v>
      </c>
      <c r="E16" s="3" t="s">
        <v>81</v>
      </c>
      <c r="F16" s="3" t="s">
        <v>82</v>
      </c>
      <c r="G16" s="3" t="s">
        <v>83</v>
      </c>
      <c r="H16" s="3" t="s">
        <v>32</v>
      </c>
      <c r="I16" s="10">
        <v>2.1</v>
      </c>
    </row>
    <row r="17" spans="1:9" x14ac:dyDescent="0.25">
      <c r="A17" s="9">
        <v>458</v>
      </c>
      <c r="B17" s="3" t="s">
        <v>84</v>
      </c>
      <c r="C17" s="3">
        <v>29</v>
      </c>
      <c r="D17" s="3" t="s">
        <v>28</v>
      </c>
      <c r="E17" s="3" t="s">
        <v>55</v>
      </c>
      <c r="F17" s="3" t="s">
        <v>85</v>
      </c>
      <c r="G17" s="3" t="s">
        <v>86</v>
      </c>
      <c r="H17" s="3" t="s">
        <v>75</v>
      </c>
      <c r="I17" s="10">
        <v>1.3</v>
      </c>
    </row>
    <row r="18" spans="1:9" x14ac:dyDescent="0.25">
      <c r="A18" s="9">
        <v>356</v>
      </c>
      <c r="B18" s="3" t="s">
        <v>87</v>
      </c>
      <c r="C18" s="3">
        <v>33</v>
      </c>
      <c r="D18" s="3" t="s">
        <v>59</v>
      </c>
      <c r="E18" s="3" t="s">
        <v>88</v>
      </c>
      <c r="F18" s="3" t="s">
        <v>89</v>
      </c>
      <c r="G18" s="3" t="s">
        <v>90</v>
      </c>
      <c r="H18" s="3" t="s">
        <v>67</v>
      </c>
      <c r="I18" s="10">
        <v>1.6</v>
      </c>
    </row>
    <row r="19" spans="1:9" x14ac:dyDescent="0.25">
      <c r="A19" s="9">
        <v>467</v>
      </c>
      <c r="B19" s="3" t="s">
        <v>91</v>
      </c>
      <c r="C19" s="3">
        <v>48</v>
      </c>
      <c r="D19" s="3" t="s">
        <v>39</v>
      </c>
      <c r="E19" s="3" t="s">
        <v>88</v>
      </c>
      <c r="F19" s="3" t="s">
        <v>92</v>
      </c>
      <c r="G19" s="3" t="s">
        <v>93</v>
      </c>
      <c r="H19" s="3" t="s">
        <v>32</v>
      </c>
      <c r="I19" s="10">
        <v>2.9</v>
      </c>
    </row>
    <row r="20" spans="1:9" x14ac:dyDescent="0.25">
      <c r="A20" s="9">
        <v>116</v>
      </c>
      <c r="B20" s="3" t="s">
        <v>94</v>
      </c>
      <c r="C20" s="3">
        <v>54</v>
      </c>
      <c r="D20" s="3" t="s">
        <v>22</v>
      </c>
      <c r="E20" s="3" t="s">
        <v>95</v>
      </c>
      <c r="F20" s="3" t="s">
        <v>96</v>
      </c>
      <c r="G20" s="3" t="s">
        <v>97</v>
      </c>
      <c r="H20" s="3" t="s">
        <v>20</v>
      </c>
      <c r="I20" s="10">
        <v>2.2000000000000002</v>
      </c>
    </row>
    <row r="21" spans="1:9" x14ac:dyDescent="0.25">
      <c r="A21" s="9">
        <v>404</v>
      </c>
      <c r="B21" s="3" t="s">
        <v>98</v>
      </c>
      <c r="C21" s="3">
        <v>18</v>
      </c>
      <c r="D21" s="3" t="s">
        <v>10</v>
      </c>
      <c r="E21" s="3" t="s">
        <v>49</v>
      </c>
      <c r="F21" s="3" t="s">
        <v>99</v>
      </c>
      <c r="G21" s="3" t="s">
        <v>100</v>
      </c>
      <c r="H21" s="3" t="s">
        <v>101</v>
      </c>
      <c r="I21" s="10">
        <v>3</v>
      </c>
    </row>
    <row r="22" spans="1:9" x14ac:dyDescent="0.25">
      <c r="A22" s="9">
        <v>14</v>
      </c>
      <c r="B22" s="3" t="s">
        <v>102</v>
      </c>
      <c r="C22" s="3">
        <v>41</v>
      </c>
      <c r="D22" s="3" t="s">
        <v>59</v>
      </c>
      <c r="E22" s="3" t="s">
        <v>72</v>
      </c>
      <c r="F22" s="3" t="s">
        <v>103</v>
      </c>
      <c r="G22" s="3" t="s">
        <v>104</v>
      </c>
      <c r="H22" s="3" t="s">
        <v>67</v>
      </c>
      <c r="I22" s="10">
        <v>4.5</v>
      </c>
    </row>
    <row r="23" spans="1:9" x14ac:dyDescent="0.25">
      <c r="A23" s="9">
        <v>275</v>
      </c>
      <c r="B23" s="3" t="s">
        <v>105</v>
      </c>
      <c r="C23" s="3">
        <v>53</v>
      </c>
      <c r="D23" s="3" t="s">
        <v>48</v>
      </c>
      <c r="E23" s="3" t="s">
        <v>106</v>
      </c>
      <c r="F23" s="3" t="s">
        <v>107</v>
      </c>
      <c r="G23" s="3" t="s">
        <v>108</v>
      </c>
      <c r="H23" s="3" t="s">
        <v>67</v>
      </c>
      <c r="I23" s="10">
        <v>2.7</v>
      </c>
    </row>
    <row r="24" spans="1:9" x14ac:dyDescent="0.25">
      <c r="A24" s="9">
        <v>309</v>
      </c>
      <c r="B24" s="3" t="s">
        <v>109</v>
      </c>
      <c r="C24" s="3">
        <v>46</v>
      </c>
      <c r="D24" s="3" t="s">
        <v>22</v>
      </c>
      <c r="E24" s="3" t="s">
        <v>55</v>
      </c>
      <c r="F24" s="3" t="s">
        <v>110</v>
      </c>
      <c r="G24" s="3" t="s">
        <v>111</v>
      </c>
      <c r="H24" s="3" t="s">
        <v>112</v>
      </c>
      <c r="I24" s="10">
        <v>1.6</v>
      </c>
    </row>
    <row r="25" spans="1:9" x14ac:dyDescent="0.25">
      <c r="A25" s="9">
        <v>486</v>
      </c>
      <c r="B25" s="3" t="s">
        <v>113</v>
      </c>
      <c r="C25" s="3">
        <v>38</v>
      </c>
      <c r="D25" s="3" t="s">
        <v>16</v>
      </c>
      <c r="E25" s="3" t="s">
        <v>60</v>
      </c>
      <c r="F25" s="3" t="s">
        <v>114</v>
      </c>
      <c r="G25" s="3"/>
      <c r="H25" s="3" t="s">
        <v>115</v>
      </c>
      <c r="I25" s="10">
        <v>1.4</v>
      </c>
    </row>
    <row r="26" spans="1:9" x14ac:dyDescent="0.25">
      <c r="A26" s="9">
        <v>337</v>
      </c>
      <c r="B26" s="3" t="s">
        <v>116</v>
      </c>
      <c r="C26" s="3">
        <v>19</v>
      </c>
      <c r="D26" s="3" t="s">
        <v>39</v>
      </c>
      <c r="E26" s="3" t="s">
        <v>81</v>
      </c>
      <c r="F26" s="3" t="s">
        <v>117</v>
      </c>
      <c r="G26" s="3" t="s">
        <v>118</v>
      </c>
      <c r="H26" s="3" t="s">
        <v>75</v>
      </c>
      <c r="I26" s="10">
        <v>3</v>
      </c>
    </row>
    <row r="27" spans="1:9" x14ac:dyDescent="0.25">
      <c r="A27" s="9">
        <v>498</v>
      </c>
      <c r="B27" s="3" t="s">
        <v>119</v>
      </c>
      <c r="C27" s="3">
        <v>41</v>
      </c>
      <c r="D27" s="3" t="s">
        <v>48</v>
      </c>
      <c r="E27" s="3" t="s">
        <v>120</v>
      </c>
      <c r="F27" s="3" t="s">
        <v>121</v>
      </c>
      <c r="G27" s="3" t="s">
        <v>122</v>
      </c>
      <c r="H27" s="3" t="s">
        <v>63</v>
      </c>
      <c r="I27" s="10">
        <v>3.5</v>
      </c>
    </row>
    <row r="28" spans="1:9" x14ac:dyDescent="0.25">
      <c r="A28" s="9">
        <v>133</v>
      </c>
      <c r="B28" s="3" t="s">
        <v>123</v>
      </c>
      <c r="C28" s="3">
        <v>49</v>
      </c>
      <c r="D28" s="3" t="s">
        <v>48</v>
      </c>
      <c r="E28" s="3" t="s">
        <v>124</v>
      </c>
      <c r="F28" s="3" t="s">
        <v>125</v>
      </c>
      <c r="G28" s="3" t="s">
        <v>126</v>
      </c>
      <c r="H28" s="3" t="s">
        <v>67</v>
      </c>
      <c r="I28" s="10">
        <v>3.1</v>
      </c>
    </row>
    <row r="29" spans="1:9" x14ac:dyDescent="0.25">
      <c r="A29" s="9">
        <v>376</v>
      </c>
      <c r="B29" s="3" t="s">
        <v>127</v>
      </c>
      <c r="C29" s="3">
        <v>22</v>
      </c>
      <c r="D29" s="3" t="s">
        <v>28</v>
      </c>
      <c r="E29" s="3" t="s">
        <v>11</v>
      </c>
      <c r="F29" s="3" t="s">
        <v>128</v>
      </c>
      <c r="G29" s="3" t="s">
        <v>129</v>
      </c>
      <c r="H29" s="3" t="s">
        <v>52</v>
      </c>
      <c r="I29" s="10">
        <v>4.0999999999999996</v>
      </c>
    </row>
    <row r="30" spans="1:9" x14ac:dyDescent="0.25">
      <c r="A30" s="9">
        <v>260</v>
      </c>
      <c r="B30" s="3" t="s">
        <v>130</v>
      </c>
      <c r="C30" s="3">
        <v>53</v>
      </c>
      <c r="D30" s="3" t="s">
        <v>10</v>
      </c>
      <c r="E30" s="3" t="s">
        <v>81</v>
      </c>
      <c r="F30" s="3" t="s">
        <v>131</v>
      </c>
      <c r="G30" s="3" t="s">
        <v>132</v>
      </c>
      <c r="H30" s="3" t="s">
        <v>79</v>
      </c>
      <c r="I30" s="10"/>
    </row>
    <row r="31" spans="1:9" x14ac:dyDescent="0.25">
      <c r="A31" s="9">
        <v>269</v>
      </c>
      <c r="B31" s="3" t="s">
        <v>133</v>
      </c>
      <c r="C31" s="3">
        <v>35</v>
      </c>
      <c r="D31" s="3" t="s">
        <v>22</v>
      </c>
      <c r="E31" s="3" t="s">
        <v>34</v>
      </c>
      <c r="F31" s="3" t="s">
        <v>134</v>
      </c>
      <c r="G31" s="3" t="s">
        <v>135</v>
      </c>
      <c r="H31" s="3" t="s">
        <v>136</v>
      </c>
      <c r="I31" s="10">
        <v>2.1</v>
      </c>
    </row>
    <row r="32" spans="1:9" x14ac:dyDescent="0.25">
      <c r="A32" s="9">
        <v>279</v>
      </c>
      <c r="B32" s="3" t="s">
        <v>43</v>
      </c>
      <c r="C32" s="3">
        <v>31</v>
      </c>
      <c r="D32" s="3" t="s">
        <v>59</v>
      </c>
      <c r="E32" s="3" t="s">
        <v>23</v>
      </c>
      <c r="F32" s="3" t="s">
        <v>137</v>
      </c>
      <c r="G32" s="3" t="s">
        <v>138</v>
      </c>
      <c r="H32" s="3" t="s">
        <v>112</v>
      </c>
      <c r="I32" s="10">
        <v>4.8</v>
      </c>
    </row>
    <row r="33" spans="1:9" x14ac:dyDescent="0.25">
      <c r="A33" s="9">
        <v>497</v>
      </c>
      <c r="B33" s="3" t="s">
        <v>139</v>
      </c>
      <c r="C33" s="3">
        <v>49</v>
      </c>
      <c r="D33" s="3" t="s">
        <v>39</v>
      </c>
      <c r="E33" s="3" t="s">
        <v>88</v>
      </c>
      <c r="F33" s="3" t="s">
        <v>140</v>
      </c>
      <c r="G33" s="3" t="s">
        <v>141</v>
      </c>
      <c r="H33" s="3" t="s">
        <v>142</v>
      </c>
      <c r="I33" s="10">
        <v>1.4</v>
      </c>
    </row>
    <row r="34" spans="1:9" x14ac:dyDescent="0.25">
      <c r="A34" s="9">
        <v>302</v>
      </c>
      <c r="B34" s="3" t="s">
        <v>143</v>
      </c>
      <c r="C34" s="3">
        <v>22</v>
      </c>
      <c r="D34" s="3" t="s">
        <v>54</v>
      </c>
      <c r="E34" s="3" t="s">
        <v>144</v>
      </c>
      <c r="F34" s="3" t="s">
        <v>145</v>
      </c>
      <c r="G34" s="3" t="s">
        <v>146</v>
      </c>
      <c r="H34" s="3" t="s">
        <v>37</v>
      </c>
      <c r="I34" s="10">
        <v>4.5</v>
      </c>
    </row>
    <row r="35" spans="1:9" x14ac:dyDescent="0.25">
      <c r="A35" s="9">
        <v>147</v>
      </c>
      <c r="B35" s="3" t="s">
        <v>147</v>
      </c>
      <c r="C35" s="3"/>
      <c r="D35" s="3" t="s">
        <v>48</v>
      </c>
      <c r="E35" s="3" t="s">
        <v>95</v>
      </c>
      <c r="F35" s="3" t="s">
        <v>148</v>
      </c>
      <c r="G35" s="3" t="s">
        <v>149</v>
      </c>
      <c r="H35" s="3" t="s">
        <v>136</v>
      </c>
      <c r="I35" s="10">
        <v>4.5999999999999996</v>
      </c>
    </row>
    <row r="36" spans="1:9" x14ac:dyDescent="0.25">
      <c r="A36" s="9">
        <v>26</v>
      </c>
      <c r="B36" s="3" t="s">
        <v>150</v>
      </c>
      <c r="C36" s="3">
        <v>42</v>
      </c>
      <c r="D36" s="3" t="s">
        <v>16</v>
      </c>
      <c r="E36" s="3" t="s">
        <v>60</v>
      </c>
      <c r="F36" s="3" t="s">
        <v>151</v>
      </c>
      <c r="G36" s="3" t="s">
        <v>152</v>
      </c>
      <c r="H36" s="3" t="s">
        <v>52</v>
      </c>
      <c r="I36" s="10">
        <v>2.4</v>
      </c>
    </row>
    <row r="37" spans="1:9" x14ac:dyDescent="0.25">
      <c r="A37" s="9">
        <v>485</v>
      </c>
      <c r="B37" s="3" t="s">
        <v>153</v>
      </c>
      <c r="C37" s="3">
        <v>42</v>
      </c>
      <c r="D37" s="3" t="s">
        <v>28</v>
      </c>
      <c r="E37" s="3" t="s">
        <v>88</v>
      </c>
      <c r="F37" s="3" t="s">
        <v>154</v>
      </c>
      <c r="G37" s="3" t="s">
        <v>155</v>
      </c>
      <c r="H37" s="3" t="s">
        <v>156</v>
      </c>
      <c r="I37" s="10">
        <v>3.1</v>
      </c>
    </row>
    <row r="38" spans="1:9" x14ac:dyDescent="0.25">
      <c r="A38" s="9">
        <v>314</v>
      </c>
      <c r="B38" s="3" t="s">
        <v>157</v>
      </c>
      <c r="C38" s="3">
        <v>41</v>
      </c>
      <c r="D38" s="3" t="s">
        <v>39</v>
      </c>
      <c r="E38" s="3" t="s">
        <v>124</v>
      </c>
      <c r="F38" s="3" t="s">
        <v>158</v>
      </c>
      <c r="G38" s="3" t="s">
        <v>159</v>
      </c>
      <c r="H38" s="3" t="s">
        <v>136</v>
      </c>
      <c r="I38" s="10">
        <v>3.4</v>
      </c>
    </row>
    <row r="39" spans="1:9" x14ac:dyDescent="0.25">
      <c r="A39" s="9">
        <v>247</v>
      </c>
      <c r="B39" s="3" t="s">
        <v>160</v>
      </c>
      <c r="C39" s="3">
        <v>49</v>
      </c>
      <c r="D39" s="3" t="s">
        <v>16</v>
      </c>
      <c r="E39" s="3" t="s">
        <v>17</v>
      </c>
      <c r="F39" s="3" t="s">
        <v>161</v>
      </c>
      <c r="G39" s="3" t="s">
        <v>162</v>
      </c>
      <c r="H39" s="3" t="s">
        <v>136</v>
      </c>
      <c r="I39" s="10">
        <v>1.1000000000000001</v>
      </c>
    </row>
    <row r="40" spans="1:9" x14ac:dyDescent="0.25">
      <c r="A40" s="9">
        <v>347</v>
      </c>
      <c r="B40" s="3" t="s">
        <v>163</v>
      </c>
      <c r="C40" s="3">
        <v>52</v>
      </c>
      <c r="D40" s="3" t="s">
        <v>16</v>
      </c>
      <c r="E40" s="3" t="s">
        <v>49</v>
      </c>
      <c r="F40" s="3" t="s">
        <v>164</v>
      </c>
      <c r="G40" s="3" t="s">
        <v>165</v>
      </c>
      <c r="H40" s="3" t="s">
        <v>101</v>
      </c>
      <c r="I40" s="10">
        <v>3.6</v>
      </c>
    </row>
    <row r="41" spans="1:9" x14ac:dyDescent="0.25">
      <c r="A41" s="9">
        <v>223</v>
      </c>
      <c r="B41" s="3" t="s">
        <v>166</v>
      </c>
      <c r="C41" s="3">
        <v>24</v>
      </c>
      <c r="D41" s="3" t="s">
        <v>39</v>
      </c>
      <c r="E41" s="3" t="s">
        <v>60</v>
      </c>
      <c r="F41" s="3" t="s">
        <v>167</v>
      </c>
      <c r="G41" s="3" t="s">
        <v>168</v>
      </c>
      <c r="H41" s="3" t="s">
        <v>169</v>
      </c>
      <c r="I41" s="10">
        <v>4.9000000000000004</v>
      </c>
    </row>
    <row r="42" spans="1:9" x14ac:dyDescent="0.25">
      <c r="A42" s="9">
        <v>419</v>
      </c>
      <c r="B42" s="3" t="s">
        <v>170</v>
      </c>
      <c r="C42" s="3">
        <v>22</v>
      </c>
      <c r="D42" s="3" t="s">
        <v>48</v>
      </c>
      <c r="E42" s="3" t="s">
        <v>124</v>
      </c>
      <c r="F42" s="3" t="s">
        <v>171</v>
      </c>
      <c r="G42" s="3" t="s">
        <v>172</v>
      </c>
      <c r="H42" s="3" t="s">
        <v>20</v>
      </c>
      <c r="I42" s="10">
        <v>2.1</v>
      </c>
    </row>
    <row r="43" spans="1:9" x14ac:dyDescent="0.25">
      <c r="A43" s="9">
        <v>52</v>
      </c>
      <c r="B43" s="3" t="s">
        <v>173</v>
      </c>
      <c r="C43" s="3">
        <v>53</v>
      </c>
      <c r="D43" s="3" t="s">
        <v>59</v>
      </c>
      <c r="E43" s="3" t="s">
        <v>95</v>
      </c>
      <c r="F43" s="3" t="s">
        <v>174</v>
      </c>
      <c r="G43" s="3" t="s">
        <v>175</v>
      </c>
      <c r="H43" s="3" t="s">
        <v>136</v>
      </c>
      <c r="I43" s="10">
        <v>1.8</v>
      </c>
    </row>
    <row r="44" spans="1:9" x14ac:dyDescent="0.25">
      <c r="A44" s="9">
        <v>259</v>
      </c>
      <c r="B44" s="3" t="s">
        <v>176</v>
      </c>
      <c r="C44" s="3">
        <v>25</v>
      </c>
      <c r="D44" s="3" t="s">
        <v>39</v>
      </c>
      <c r="E44" s="3" t="s">
        <v>106</v>
      </c>
      <c r="F44" s="3" t="s">
        <v>177</v>
      </c>
      <c r="G44" s="3" t="s">
        <v>178</v>
      </c>
      <c r="H44" s="3" t="s">
        <v>20</v>
      </c>
      <c r="I44" s="10">
        <v>3.5</v>
      </c>
    </row>
    <row r="45" spans="1:9" x14ac:dyDescent="0.25">
      <c r="A45" s="9">
        <v>428</v>
      </c>
      <c r="B45" s="3" t="s">
        <v>179</v>
      </c>
      <c r="C45" s="3">
        <v>53</v>
      </c>
      <c r="D45" s="3" t="s">
        <v>16</v>
      </c>
      <c r="E45" s="3" t="s">
        <v>60</v>
      </c>
      <c r="F45" s="3" t="s">
        <v>180</v>
      </c>
      <c r="G45" s="3" t="s">
        <v>181</v>
      </c>
      <c r="H45" s="3" t="s">
        <v>115</v>
      </c>
      <c r="I45" s="10">
        <v>4.9000000000000004</v>
      </c>
    </row>
    <row r="46" spans="1:9" x14ac:dyDescent="0.25">
      <c r="A46" s="9">
        <v>41</v>
      </c>
      <c r="B46" s="3" t="s">
        <v>182</v>
      </c>
      <c r="C46" s="3">
        <v>31</v>
      </c>
      <c r="D46" s="3" t="s">
        <v>10</v>
      </c>
      <c r="E46" s="3" t="s">
        <v>124</v>
      </c>
      <c r="F46" s="3" t="s">
        <v>183</v>
      </c>
      <c r="G46" s="3" t="s">
        <v>184</v>
      </c>
      <c r="H46" s="3" t="s">
        <v>79</v>
      </c>
      <c r="I46" s="10">
        <v>3.7</v>
      </c>
    </row>
    <row r="47" spans="1:9" x14ac:dyDescent="0.25">
      <c r="A47" s="9">
        <v>90</v>
      </c>
      <c r="B47" s="3" t="s">
        <v>185</v>
      </c>
      <c r="C47" s="3">
        <v>34</v>
      </c>
      <c r="D47" s="3" t="s">
        <v>39</v>
      </c>
      <c r="E47" s="3" t="s">
        <v>124</v>
      </c>
      <c r="F47" s="3" t="s">
        <v>186</v>
      </c>
      <c r="G47" s="3" t="s">
        <v>187</v>
      </c>
      <c r="H47" s="3" t="s">
        <v>20</v>
      </c>
      <c r="I47" s="10">
        <v>3.9</v>
      </c>
    </row>
    <row r="48" spans="1:9" x14ac:dyDescent="0.25">
      <c r="A48" s="9">
        <v>207</v>
      </c>
      <c r="B48" s="3" t="s">
        <v>102</v>
      </c>
      <c r="C48" s="3">
        <v>28</v>
      </c>
      <c r="D48" s="3" t="s">
        <v>16</v>
      </c>
      <c r="E48" s="3" t="s">
        <v>81</v>
      </c>
      <c r="F48" s="3" t="s">
        <v>188</v>
      </c>
      <c r="G48" s="3" t="s">
        <v>189</v>
      </c>
      <c r="H48" s="3" t="s">
        <v>37</v>
      </c>
      <c r="I48" s="10">
        <v>4.4000000000000004</v>
      </c>
    </row>
    <row r="49" spans="1:9" x14ac:dyDescent="0.25">
      <c r="A49" s="9">
        <v>240</v>
      </c>
      <c r="B49" s="3" t="s">
        <v>133</v>
      </c>
      <c r="C49" s="3">
        <v>33</v>
      </c>
      <c r="D49" s="3" t="s">
        <v>59</v>
      </c>
      <c r="E49" s="3" t="s">
        <v>72</v>
      </c>
      <c r="F49" s="3" t="s">
        <v>190</v>
      </c>
      <c r="G49" s="3" t="s">
        <v>191</v>
      </c>
      <c r="H49" s="3" t="s">
        <v>79</v>
      </c>
      <c r="I49" s="10">
        <v>3.2</v>
      </c>
    </row>
    <row r="50" spans="1:9" x14ac:dyDescent="0.25">
      <c r="A50" s="9">
        <v>483</v>
      </c>
      <c r="B50" s="3" t="s">
        <v>192</v>
      </c>
      <c r="C50" s="3">
        <v>46</v>
      </c>
      <c r="D50" s="3" t="s">
        <v>22</v>
      </c>
      <c r="E50" s="3" t="s">
        <v>193</v>
      </c>
      <c r="F50" s="3" t="s">
        <v>194</v>
      </c>
      <c r="G50" s="3" t="s">
        <v>195</v>
      </c>
      <c r="H50" s="3" t="s">
        <v>46</v>
      </c>
      <c r="I50" s="10">
        <v>1</v>
      </c>
    </row>
    <row r="51" spans="1:9" x14ac:dyDescent="0.25">
      <c r="A51" s="9">
        <v>239</v>
      </c>
      <c r="B51" s="3" t="s">
        <v>196</v>
      </c>
      <c r="C51" s="3">
        <v>24</v>
      </c>
      <c r="D51" s="3" t="s">
        <v>39</v>
      </c>
      <c r="E51" s="3" t="s">
        <v>144</v>
      </c>
      <c r="F51" s="3" t="s">
        <v>197</v>
      </c>
      <c r="G51" s="3" t="s">
        <v>198</v>
      </c>
      <c r="H51" s="3" t="s">
        <v>20</v>
      </c>
      <c r="I51" s="10">
        <v>2.2999999999999998</v>
      </c>
    </row>
    <row r="52" spans="1:9" x14ac:dyDescent="0.25">
      <c r="A52" s="9">
        <v>480</v>
      </c>
      <c r="B52" s="3" t="s">
        <v>199</v>
      </c>
      <c r="C52" s="3">
        <v>24</v>
      </c>
      <c r="D52" s="3" t="s">
        <v>16</v>
      </c>
      <c r="E52" s="3" t="s">
        <v>200</v>
      </c>
      <c r="F52" s="3" t="s">
        <v>201</v>
      </c>
      <c r="G52" s="3" t="s">
        <v>202</v>
      </c>
      <c r="H52" s="3" t="s">
        <v>32</v>
      </c>
      <c r="I52" s="10">
        <v>3.5</v>
      </c>
    </row>
    <row r="53" spans="1:9" x14ac:dyDescent="0.25">
      <c r="A53" s="9">
        <v>311</v>
      </c>
      <c r="B53" s="3" t="s">
        <v>203</v>
      </c>
      <c r="C53" s="3">
        <v>52</v>
      </c>
      <c r="D53" s="3" t="s">
        <v>28</v>
      </c>
      <c r="E53" s="3" t="s">
        <v>204</v>
      </c>
      <c r="F53" s="3" t="s">
        <v>205</v>
      </c>
      <c r="G53" s="3" t="s">
        <v>206</v>
      </c>
      <c r="H53" s="3" t="s">
        <v>115</v>
      </c>
      <c r="I53" s="10">
        <v>1.9</v>
      </c>
    </row>
    <row r="54" spans="1:9" x14ac:dyDescent="0.25">
      <c r="A54" s="9">
        <v>4</v>
      </c>
      <c r="B54" s="3" t="s">
        <v>166</v>
      </c>
      <c r="C54" s="3">
        <v>25</v>
      </c>
      <c r="D54" s="3" t="s">
        <v>22</v>
      </c>
      <c r="E54" s="3" t="s">
        <v>11</v>
      </c>
      <c r="F54" s="3" t="s">
        <v>207</v>
      </c>
      <c r="G54" s="3" t="s">
        <v>208</v>
      </c>
      <c r="H54" s="3" t="s">
        <v>26</v>
      </c>
      <c r="I54" s="10">
        <v>2.7</v>
      </c>
    </row>
    <row r="55" spans="1:9" x14ac:dyDescent="0.25">
      <c r="A55" s="9">
        <v>180</v>
      </c>
      <c r="B55" s="3" t="s">
        <v>196</v>
      </c>
      <c r="C55" s="3">
        <v>19</v>
      </c>
      <c r="D55" s="3" t="s">
        <v>54</v>
      </c>
      <c r="E55" s="3" t="s">
        <v>11</v>
      </c>
      <c r="F55" s="3" t="s">
        <v>209</v>
      </c>
      <c r="G55" s="3" t="s">
        <v>210</v>
      </c>
      <c r="H55" s="3" t="s">
        <v>169</v>
      </c>
      <c r="I55" s="10"/>
    </row>
    <row r="56" spans="1:9" x14ac:dyDescent="0.25">
      <c r="A56" s="9">
        <v>249</v>
      </c>
      <c r="B56" s="3" t="s">
        <v>211</v>
      </c>
      <c r="C56" s="3">
        <v>58</v>
      </c>
      <c r="D56" s="3" t="s">
        <v>59</v>
      </c>
      <c r="E56" s="3" t="s">
        <v>23</v>
      </c>
      <c r="F56" s="3" t="s">
        <v>212</v>
      </c>
      <c r="G56" s="3" t="s">
        <v>213</v>
      </c>
      <c r="H56" s="3" t="s">
        <v>37</v>
      </c>
      <c r="I56" s="10">
        <v>1.1000000000000001</v>
      </c>
    </row>
    <row r="57" spans="1:9" x14ac:dyDescent="0.25">
      <c r="A57" s="9">
        <v>293</v>
      </c>
      <c r="B57" s="3" t="s">
        <v>214</v>
      </c>
      <c r="C57" s="3">
        <v>25</v>
      </c>
      <c r="D57" s="3" t="s">
        <v>39</v>
      </c>
      <c r="E57" s="3" t="s">
        <v>95</v>
      </c>
      <c r="F57" s="3" t="s">
        <v>215</v>
      </c>
      <c r="G57" s="3"/>
      <c r="H57" s="3" t="s">
        <v>20</v>
      </c>
      <c r="I57" s="10">
        <v>3.1</v>
      </c>
    </row>
    <row r="58" spans="1:9" x14ac:dyDescent="0.25">
      <c r="A58" s="9">
        <v>66</v>
      </c>
      <c r="B58" s="3" t="s">
        <v>216</v>
      </c>
      <c r="C58" s="3">
        <v>48</v>
      </c>
      <c r="D58" s="3" t="s">
        <v>59</v>
      </c>
      <c r="E58" s="3" t="s">
        <v>88</v>
      </c>
      <c r="F58" s="3" t="s">
        <v>217</v>
      </c>
      <c r="G58" s="3" t="s">
        <v>218</v>
      </c>
      <c r="H58" s="3" t="s">
        <v>219</v>
      </c>
      <c r="I58" s="10">
        <v>1.6</v>
      </c>
    </row>
    <row r="59" spans="1:9" x14ac:dyDescent="0.25">
      <c r="A59" s="9">
        <v>139</v>
      </c>
      <c r="B59" s="3" t="s">
        <v>220</v>
      </c>
      <c r="C59" s="3">
        <v>32</v>
      </c>
      <c r="D59" s="3" t="s">
        <v>48</v>
      </c>
      <c r="E59" s="3" t="s">
        <v>23</v>
      </c>
      <c r="F59" s="3" t="s">
        <v>221</v>
      </c>
      <c r="G59" s="3" t="s">
        <v>222</v>
      </c>
      <c r="H59" s="3" t="s">
        <v>37</v>
      </c>
      <c r="I59" s="10">
        <v>3.3</v>
      </c>
    </row>
    <row r="60" spans="1:9" x14ac:dyDescent="0.25">
      <c r="A60" s="9">
        <v>437</v>
      </c>
      <c r="B60" s="3" t="s">
        <v>223</v>
      </c>
      <c r="C60" s="3">
        <v>48</v>
      </c>
      <c r="D60" s="3" t="s">
        <v>39</v>
      </c>
      <c r="E60" s="3" t="s">
        <v>40</v>
      </c>
      <c r="F60" s="3" t="s">
        <v>224</v>
      </c>
      <c r="G60" s="3" t="s">
        <v>225</v>
      </c>
      <c r="H60" s="3" t="s">
        <v>26</v>
      </c>
      <c r="I60" s="10">
        <v>2.9</v>
      </c>
    </row>
    <row r="61" spans="1:9" x14ac:dyDescent="0.25">
      <c r="A61" s="9">
        <v>304</v>
      </c>
      <c r="B61" s="3" t="s">
        <v>226</v>
      </c>
      <c r="C61" s="3">
        <v>21</v>
      </c>
      <c r="D61" s="3" t="s">
        <v>48</v>
      </c>
      <c r="E61" s="3"/>
      <c r="F61" s="3" t="s">
        <v>227</v>
      </c>
      <c r="G61" s="3" t="s">
        <v>228</v>
      </c>
      <c r="H61" s="3" t="s">
        <v>136</v>
      </c>
      <c r="I61" s="10">
        <v>5</v>
      </c>
    </row>
    <row r="62" spans="1:9" x14ac:dyDescent="0.25">
      <c r="A62" s="9">
        <v>114</v>
      </c>
      <c r="B62" s="3" t="s">
        <v>229</v>
      </c>
      <c r="C62" s="3">
        <v>18</v>
      </c>
      <c r="D62" s="3" t="s">
        <v>48</v>
      </c>
      <c r="E62" s="3" t="s">
        <v>106</v>
      </c>
      <c r="F62" s="3" t="s">
        <v>230</v>
      </c>
      <c r="G62" s="3" t="s">
        <v>231</v>
      </c>
      <c r="H62" s="3" t="s">
        <v>232</v>
      </c>
      <c r="I62" s="10">
        <v>3.2</v>
      </c>
    </row>
    <row r="63" spans="1:9" x14ac:dyDescent="0.25">
      <c r="A63" s="9">
        <v>469</v>
      </c>
      <c r="B63" s="3" t="s">
        <v>233</v>
      </c>
      <c r="C63" s="3">
        <v>52</v>
      </c>
      <c r="D63" s="3" t="s">
        <v>48</v>
      </c>
      <c r="E63" s="3" t="s">
        <v>72</v>
      </c>
      <c r="F63" s="3" t="s">
        <v>234</v>
      </c>
      <c r="G63" s="3" t="s">
        <v>235</v>
      </c>
      <c r="H63" s="3" t="s">
        <v>46</v>
      </c>
      <c r="I63" s="10">
        <v>2.2000000000000002</v>
      </c>
    </row>
    <row r="64" spans="1:9" x14ac:dyDescent="0.25">
      <c r="A64" s="9">
        <v>169</v>
      </c>
      <c r="B64" s="3" t="s">
        <v>236</v>
      </c>
      <c r="C64" s="3">
        <v>54</v>
      </c>
      <c r="D64" s="3" t="s">
        <v>16</v>
      </c>
      <c r="E64" s="3" t="s">
        <v>81</v>
      </c>
      <c r="F64" s="3" t="s">
        <v>237</v>
      </c>
      <c r="G64" s="3" t="s">
        <v>238</v>
      </c>
      <c r="H64" s="3" t="s">
        <v>219</v>
      </c>
      <c r="I64" s="10">
        <v>2.9</v>
      </c>
    </row>
    <row r="65" spans="1:9" x14ac:dyDescent="0.25">
      <c r="A65" s="9">
        <v>102</v>
      </c>
      <c r="B65" s="3" t="s">
        <v>226</v>
      </c>
      <c r="C65" s="3">
        <v>25</v>
      </c>
      <c r="D65" s="3" t="s">
        <v>22</v>
      </c>
      <c r="E65" s="3" t="s">
        <v>239</v>
      </c>
      <c r="F65" s="3" t="s">
        <v>240</v>
      </c>
      <c r="G65" s="3" t="s">
        <v>241</v>
      </c>
      <c r="H65" s="3" t="s">
        <v>242</v>
      </c>
      <c r="I65" s="10">
        <v>1.7</v>
      </c>
    </row>
    <row r="66" spans="1:9" x14ac:dyDescent="0.25">
      <c r="A66" s="9">
        <v>373</v>
      </c>
      <c r="B66" s="3" t="s">
        <v>43</v>
      </c>
      <c r="C66" s="3"/>
      <c r="D66" s="3" t="s">
        <v>10</v>
      </c>
      <c r="E66" s="3" t="s">
        <v>17</v>
      </c>
      <c r="F66" s="3" t="s">
        <v>243</v>
      </c>
      <c r="G66" s="3" t="s">
        <v>244</v>
      </c>
      <c r="H66" s="3" t="s">
        <v>112</v>
      </c>
      <c r="I66" s="10"/>
    </row>
    <row r="67" spans="1:9" x14ac:dyDescent="0.25">
      <c r="A67" s="9">
        <v>214</v>
      </c>
      <c r="B67" s="3" t="s">
        <v>245</v>
      </c>
      <c r="C67" s="3">
        <v>20</v>
      </c>
      <c r="D67" s="3" t="s">
        <v>22</v>
      </c>
      <c r="E67" s="3" t="s">
        <v>106</v>
      </c>
      <c r="F67" s="3" t="s">
        <v>246</v>
      </c>
      <c r="G67" s="3" t="s">
        <v>247</v>
      </c>
      <c r="H67" s="3" t="s">
        <v>169</v>
      </c>
      <c r="I67" s="10">
        <v>3.8</v>
      </c>
    </row>
    <row r="68" spans="1:9" x14ac:dyDescent="0.25">
      <c r="A68" s="9">
        <v>406</v>
      </c>
      <c r="B68" s="3" t="s">
        <v>248</v>
      </c>
      <c r="C68" s="3">
        <v>56</v>
      </c>
      <c r="D68" s="3" t="s">
        <v>48</v>
      </c>
      <c r="E68" s="3" t="s">
        <v>124</v>
      </c>
      <c r="F68" s="3" t="s">
        <v>249</v>
      </c>
      <c r="G68" s="3" t="s">
        <v>250</v>
      </c>
      <c r="H68" s="3" t="s">
        <v>219</v>
      </c>
      <c r="I68" s="10">
        <v>3.7</v>
      </c>
    </row>
    <row r="69" spans="1:9" x14ac:dyDescent="0.25">
      <c r="A69" s="9">
        <v>341</v>
      </c>
      <c r="B69" s="3" t="s">
        <v>251</v>
      </c>
      <c r="C69" s="3">
        <v>50</v>
      </c>
      <c r="D69" s="3" t="s">
        <v>59</v>
      </c>
      <c r="E69" s="3" t="s">
        <v>204</v>
      </c>
      <c r="F69" s="3" t="s">
        <v>252</v>
      </c>
      <c r="G69" s="3" t="s">
        <v>253</v>
      </c>
      <c r="H69" s="3" t="s">
        <v>142</v>
      </c>
      <c r="I69" s="10">
        <v>2.4</v>
      </c>
    </row>
    <row r="70" spans="1:9" x14ac:dyDescent="0.25">
      <c r="A70" s="9">
        <v>461</v>
      </c>
      <c r="B70" s="3" t="s">
        <v>254</v>
      </c>
      <c r="C70" s="3">
        <v>50</v>
      </c>
      <c r="D70" s="3" t="s">
        <v>39</v>
      </c>
      <c r="E70" s="3" t="s">
        <v>255</v>
      </c>
      <c r="F70" s="3" t="s">
        <v>256</v>
      </c>
      <c r="G70" s="3" t="s">
        <v>257</v>
      </c>
      <c r="H70" s="3" t="s">
        <v>169</v>
      </c>
      <c r="I70" s="10">
        <v>4.2</v>
      </c>
    </row>
    <row r="71" spans="1:9" x14ac:dyDescent="0.25">
      <c r="A71" s="9">
        <v>338</v>
      </c>
      <c r="B71" s="3" t="s">
        <v>160</v>
      </c>
      <c r="C71" s="3">
        <v>43</v>
      </c>
      <c r="D71" s="3" t="s">
        <v>59</v>
      </c>
      <c r="E71" s="3" t="s">
        <v>40</v>
      </c>
      <c r="F71" s="3" t="s">
        <v>258</v>
      </c>
      <c r="G71" s="3" t="s">
        <v>259</v>
      </c>
      <c r="H71" s="3" t="s">
        <v>14</v>
      </c>
      <c r="I71" s="10">
        <v>2.9</v>
      </c>
    </row>
    <row r="72" spans="1:9" x14ac:dyDescent="0.25">
      <c r="A72" s="9">
        <v>452</v>
      </c>
      <c r="B72" s="3" t="s">
        <v>260</v>
      </c>
      <c r="C72" s="3">
        <v>41</v>
      </c>
      <c r="D72" s="3" t="s">
        <v>48</v>
      </c>
      <c r="E72" s="3" t="s">
        <v>106</v>
      </c>
      <c r="F72" s="3" t="s">
        <v>261</v>
      </c>
      <c r="G72" s="3" t="s">
        <v>262</v>
      </c>
      <c r="H72" s="3" t="s">
        <v>75</v>
      </c>
      <c r="I72" s="10">
        <v>1.5</v>
      </c>
    </row>
    <row r="73" spans="1:9" x14ac:dyDescent="0.25">
      <c r="A73" s="9">
        <v>194</v>
      </c>
      <c r="B73" s="3" t="s">
        <v>263</v>
      </c>
      <c r="C73" s="3">
        <v>43</v>
      </c>
      <c r="D73" s="3" t="s">
        <v>16</v>
      </c>
      <c r="E73" s="3" t="s">
        <v>95</v>
      </c>
      <c r="F73" s="3" t="s">
        <v>264</v>
      </c>
      <c r="G73" s="3" t="s">
        <v>265</v>
      </c>
      <c r="H73" s="3" t="s">
        <v>75</v>
      </c>
      <c r="I73" s="10">
        <v>2.4</v>
      </c>
    </row>
    <row r="74" spans="1:9" x14ac:dyDescent="0.25">
      <c r="A74" s="9">
        <v>61</v>
      </c>
      <c r="B74" s="3" t="s">
        <v>127</v>
      </c>
      <c r="C74" s="3">
        <v>43</v>
      </c>
      <c r="D74" s="3" t="s">
        <v>59</v>
      </c>
      <c r="E74" s="3" t="s">
        <v>40</v>
      </c>
      <c r="F74" s="3" t="s">
        <v>266</v>
      </c>
      <c r="G74" s="3" t="s">
        <v>267</v>
      </c>
      <c r="H74" s="3" t="s">
        <v>268</v>
      </c>
      <c r="I74" s="10">
        <v>2.8</v>
      </c>
    </row>
    <row r="75" spans="1:9" x14ac:dyDescent="0.25">
      <c r="A75" s="9">
        <v>417</v>
      </c>
      <c r="B75" s="3" t="s">
        <v>269</v>
      </c>
      <c r="C75" s="3">
        <v>31</v>
      </c>
      <c r="D75" s="3" t="s">
        <v>59</v>
      </c>
      <c r="E75" s="3" t="s">
        <v>55</v>
      </c>
      <c r="F75" s="3" t="s">
        <v>270</v>
      </c>
      <c r="G75" s="3" t="s">
        <v>271</v>
      </c>
      <c r="H75" s="3" t="s">
        <v>242</v>
      </c>
      <c r="I75" s="10">
        <v>3.7</v>
      </c>
    </row>
    <row r="76" spans="1:9" x14ac:dyDescent="0.25">
      <c r="A76" s="9">
        <v>315</v>
      </c>
      <c r="B76" s="3" t="s">
        <v>272</v>
      </c>
      <c r="C76" s="3">
        <v>46</v>
      </c>
      <c r="D76" s="3" t="s">
        <v>10</v>
      </c>
      <c r="E76" s="3" t="s">
        <v>124</v>
      </c>
      <c r="F76" s="3" t="s">
        <v>273</v>
      </c>
      <c r="G76" s="3" t="s">
        <v>274</v>
      </c>
      <c r="H76" s="3" t="s">
        <v>115</v>
      </c>
      <c r="I76" s="10">
        <v>3.3</v>
      </c>
    </row>
    <row r="77" spans="1:9" x14ac:dyDescent="0.25">
      <c r="A77" s="9">
        <v>119</v>
      </c>
      <c r="B77" s="3" t="s">
        <v>91</v>
      </c>
      <c r="C77" s="3">
        <v>18</v>
      </c>
      <c r="D77" s="3" t="s">
        <v>39</v>
      </c>
      <c r="E77" s="3" t="s">
        <v>81</v>
      </c>
      <c r="F77" s="3" t="s">
        <v>275</v>
      </c>
      <c r="G77" s="3" t="s">
        <v>276</v>
      </c>
      <c r="H77" s="3" t="s">
        <v>219</v>
      </c>
      <c r="I77" s="10">
        <v>1.6</v>
      </c>
    </row>
    <row r="78" spans="1:9" x14ac:dyDescent="0.25">
      <c r="A78" s="9">
        <v>370</v>
      </c>
      <c r="B78" s="3" t="s">
        <v>277</v>
      </c>
      <c r="C78" s="3">
        <v>59</v>
      </c>
      <c r="D78" s="3" t="s">
        <v>28</v>
      </c>
      <c r="E78" s="3" t="s">
        <v>88</v>
      </c>
      <c r="F78" s="3" t="s">
        <v>278</v>
      </c>
      <c r="G78" s="3" t="s">
        <v>279</v>
      </c>
      <c r="H78" s="3" t="s">
        <v>136</v>
      </c>
      <c r="I78" s="10">
        <v>3.5</v>
      </c>
    </row>
    <row r="79" spans="1:9" x14ac:dyDescent="0.25">
      <c r="A79" s="9">
        <v>426</v>
      </c>
      <c r="B79" s="3" t="s">
        <v>173</v>
      </c>
      <c r="C79" s="3">
        <v>38</v>
      </c>
      <c r="D79" s="3" t="s">
        <v>22</v>
      </c>
      <c r="E79" s="3" t="s">
        <v>95</v>
      </c>
      <c r="F79" s="3" t="s">
        <v>280</v>
      </c>
      <c r="G79" s="3" t="s">
        <v>281</v>
      </c>
      <c r="H79" s="3" t="s">
        <v>112</v>
      </c>
      <c r="I79" s="10">
        <v>2.6</v>
      </c>
    </row>
    <row r="80" spans="1:9" x14ac:dyDescent="0.25">
      <c r="A80" s="9">
        <v>110</v>
      </c>
      <c r="B80" s="3" t="s">
        <v>116</v>
      </c>
      <c r="C80" s="3">
        <v>57</v>
      </c>
      <c r="D80" s="3" t="s">
        <v>39</v>
      </c>
      <c r="E80" s="3" t="s">
        <v>120</v>
      </c>
      <c r="F80" s="3" t="s">
        <v>282</v>
      </c>
      <c r="G80" s="3" t="s">
        <v>283</v>
      </c>
      <c r="H80" s="3" t="s">
        <v>32</v>
      </c>
      <c r="I80" s="10">
        <v>3.4</v>
      </c>
    </row>
    <row r="81" spans="1:9" x14ac:dyDescent="0.25">
      <c r="A81" s="9">
        <v>348</v>
      </c>
      <c r="B81" s="3" t="s">
        <v>98</v>
      </c>
      <c r="C81" s="3">
        <v>42</v>
      </c>
      <c r="D81" s="3" t="s">
        <v>39</v>
      </c>
      <c r="E81" s="3" t="s">
        <v>34</v>
      </c>
      <c r="F81" s="3" t="s">
        <v>284</v>
      </c>
      <c r="G81" s="3" t="s">
        <v>285</v>
      </c>
      <c r="H81" s="3" t="s">
        <v>112</v>
      </c>
      <c r="I81" s="10">
        <v>4.4000000000000004</v>
      </c>
    </row>
    <row r="82" spans="1:9" x14ac:dyDescent="0.25">
      <c r="A82" s="9">
        <v>450</v>
      </c>
      <c r="B82" s="3" t="s">
        <v>286</v>
      </c>
      <c r="C82" s="3">
        <v>44</v>
      </c>
      <c r="D82" s="3" t="s">
        <v>22</v>
      </c>
      <c r="E82" s="3" t="s">
        <v>81</v>
      </c>
      <c r="F82" s="3" t="s">
        <v>287</v>
      </c>
      <c r="G82" s="3" t="s">
        <v>288</v>
      </c>
      <c r="H82" s="3" t="s">
        <v>115</v>
      </c>
      <c r="I82" s="10">
        <v>4.2</v>
      </c>
    </row>
    <row r="83" spans="1:9" x14ac:dyDescent="0.25">
      <c r="A83" s="9">
        <v>362</v>
      </c>
      <c r="B83" s="3" t="s">
        <v>289</v>
      </c>
      <c r="C83" s="3">
        <v>51</v>
      </c>
      <c r="D83" s="3" t="s">
        <v>22</v>
      </c>
      <c r="E83" s="3" t="s">
        <v>40</v>
      </c>
      <c r="F83" s="3" t="s">
        <v>290</v>
      </c>
      <c r="G83" s="3" t="s">
        <v>291</v>
      </c>
      <c r="H83" s="3" t="s">
        <v>112</v>
      </c>
      <c r="I83" s="10">
        <v>2.2999999999999998</v>
      </c>
    </row>
    <row r="84" spans="1:9" x14ac:dyDescent="0.25">
      <c r="A84" s="9">
        <v>91</v>
      </c>
      <c r="B84" s="3" t="s">
        <v>292</v>
      </c>
      <c r="C84" s="3">
        <v>25</v>
      </c>
      <c r="D84" s="3" t="s">
        <v>48</v>
      </c>
      <c r="E84" s="3" t="s">
        <v>55</v>
      </c>
      <c r="F84" s="3" t="s">
        <v>293</v>
      </c>
      <c r="G84" s="3" t="s">
        <v>294</v>
      </c>
      <c r="H84" s="3" t="s">
        <v>75</v>
      </c>
      <c r="I84" s="10">
        <v>4.4000000000000004</v>
      </c>
    </row>
    <row r="85" spans="1:9" x14ac:dyDescent="0.25">
      <c r="A85" s="9">
        <v>156</v>
      </c>
      <c r="B85" s="3" t="s">
        <v>295</v>
      </c>
      <c r="C85" s="3">
        <v>42</v>
      </c>
      <c r="D85" s="3" t="s">
        <v>59</v>
      </c>
      <c r="E85" s="3" t="s">
        <v>55</v>
      </c>
      <c r="F85" s="3" t="s">
        <v>296</v>
      </c>
      <c r="G85" s="3" t="s">
        <v>297</v>
      </c>
      <c r="H85" s="3" t="s">
        <v>115</v>
      </c>
      <c r="I85" s="10">
        <v>3.1</v>
      </c>
    </row>
    <row r="86" spans="1:9" x14ac:dyDescent="0.25">
      <c r="A86" s="9">
        <v>264</v>
      </c>
      <c r="B86" s="3" t="s">
        <v>298</v>
      </c>
      <c r="C86" s="3">
        <v>52</v>
      </c>
      <c r="D86" s="3" t="s">
        <v>54</v>
      </c>
      <c r="E86" s="3" t="s">
        <v>106</v>
      </c>
      <c r="F86" s="3" t="s">
        <v>299</v>
      </c>
      <c r="G86" s="3" t="s">
        <v>300</v>
      </c>
      <c r="H86" s="3" t="s">
        <v>26</v>
      </c>
      <c r="I86" s="10">
        <v>2.7</v>
      </c>
    </row>
    <row r="87" spans="1:9" x14ac:dyDescent="0.25">
      <c r="A87" s="9">
        <v>307</v>
      </c>
      <c r="B87" s="3" t="s">
        <v>220</v>
      </c>
      <c r="C87" s="3">
        <v>45</v>
      </c>
      <c r="D87" s="3" t="s">
        <v>39</v>
      </c>
      <c r="E87" s="3" t="s">
        <v>88</v>
      </c>
      <c r="F87" s="3" t="s">
        <v>301</v>
      </c>
      <c r="G87" s="3" t="s">
        <v>302</v>
      </c>
      <c r="H87" s="3" t="s">
        <v>67</v>
      </c>
      <c r="I87" s="10">
        <v>4</v>
      </c>
    </row>
    <row r="88" spans="1:9" x14ac:dyDescent="0.25">
      <c r="A88" s="9">
        <v>31</v>
      </c>
      <c r="B88" s="3" t="s">
        <v>303</v>
      </c>
      <c r="C88" s="3">
        <v>32</v>
      </c>
      <c r="D88" s="3" t="s">
        <v>16</v>
      </c>
      <c r="E88" s="3" t="s">
        <v>81</v>
      </c>
      <c r="F88" s="3" t="s">
        <v>304</v>
      </c>
      <c r="G88" s="3" t="s">
        <v>305</v>
      </c>
      <c r="H88" s="3" t="s">
        <v>63</v>
      </c>
      <c r="I88" s="10">
        <v>2.8</v>
      </c>
    </row>
    <row r="89" spans="1:9" x14ac:dyDescent="0.25">
      <c r="A89" s="9">
        <v>23</v>
      </c>
      <c r="B89" s="3" t="s">
        <v>87</v>
      </c>
      <c r="C89" s="3">
        <v>50</v>
      </c>
      <c r="D89" s="3" t="s">
        <v>28</v>
      </c>
      <c r="E89" s="3" t="s">
        <v>106</v>
      </c>
      <c r="F89" s="3" t="s">
        <v>306</v>
      </c>
      <c r="G89" s="3" t="s">
        <v>307</v>
      </c>
      <c r="H89" s="3" t="s">
        <v>75</v>
      </c>
      <c r="I89" s="10">
        <v>2.6</v>
      </c>
    </row>
    <row r="90" spans="1:9" x14ac:dyDescent="0.25">
      <c r="A90" s="9">
        <v>306</v>
      </c>
      <c r="B90" s="3" t="s">
        <v>58</v>
      </c>
      <c r="C90" s="3">
        <v>34</v>
      </c>
      <c r="D90" s="3" t="s">
        <v>22</v>
      </c>
      <c r="E90" s="3" t="s">
        <v>40</v>
      </c>
      <c r="F90" s="3" t="s">
        <v>308</v>
      </c>
      <c r="G90" s="3" t="s">
        <v>309</v>
      </c>
      <c r="H90" s="3" t="s">
        <v>136</v>
      </c>
      <c r="I90" s="10">
        <v>2.6</v>
      </c>
    </row>
    <row r="91" spans="1:9" x14ac:dyDescent="0.25">
      <c r="A91" s="9">
        <v>32</v>
      </c>
      <c r="B91" s="3" t="s">
        <v>310</v>
      </c>
      <c r="C91" s="3">
        <v>20</v>
      </c>
      <c r="D91" s="3" t="s">
        <v>39</v>
      </c>
      <c r="E91" s="3" t="s">
        <v>88</v>
      </c>
      <c r="F91" s="3" t="s">
        <v>311</v>
      </c>
      <c r="G91" s="3" t="s">
        <v>312</v>
      </c>
      <c r="H91" s="3" t="s">
        <v>37</v>
      </c>
      <c r="I91" s="10">
        <v>1.6</v>
      </c>
    </row>
    <row r="92" spans="1:9" x14ac:dyDescent="0.25">
      <c r="A92" s="9">
        <v>238</v>
      </c>
      <c r="B92" s="3" t="s">
        <v>313</v>
      </c>
      <c r="C92" s="3">
        <v>52</v>
      </c>
      <c r="D92" s="3" t="s">
        <v>10</v>
      </c>
      <c r="E92" s="3" t="s">
        <v>124</v>
      </c>
      <c r="F92" s="3" t="s">
        <v>314</v>
      </c>
      <c r="G92" s="3" t="s">
        <v>315</v>
      </c>
      <c r="H92" s="3" t="s">
        <v>32</v>
      </c>
      <c r="I92" s="10">
        <v>1.3</v>
      </c>
    </row>
    <row r="93" spans="1:9" x14ac:dyDescent="0.25">
      <c r="A93" s="9">
        <v>327</v>
      </c>
      <c r="B93" s="3" t="s">
        <v>316</v>
      </c>
      <c r="C93" s="3">
        <v>48</v>
      </c>
      <c r="D93" s="3" t="s">
        <v>48</v>
      </c>
      <c r="E93" s="3" t="s">
        <v>124</v>
      </c>
      <c r="F93" s="3" t="s">
        <v>317</v>
      </c>
      <c r="G93" s="3" t="s">
        <v>318</v>
      </c>
      <c r="H93" s="3" t="s">
        <v>115</v>
      </c>
      <c r="I93" s="10">
        <v>2.6</v>
      </c>
    </row>
    <row r="94" spans="1:9" x14ac:dyDescent="0.25">
      <c r="A94" s="9">
        <v>53</v>
      </c>
      <c r="B94" s="3" t="s">
        <v>319</v>
      </c>
      <c r="C94" s="3">
        <v>57</v>
      </c>
      <c r="D94" s="3" t="s">
        <v>10</v>
      </c>
      <c r="E94" s="3" t="s">
        <v>49</v>
      </c>
      <c r="F94" s="3" t="s">
        <v>320</v>
      </c>
      <c r="G94" s="3" t="s">
        <v>321</v>
      </c>
      <c r="H94" s="3" t="s">
        <v>219</v>
      </c>
      <c r="I94" s="10">
        <v>4.5999999999999996</v>
      </c>
    </row>
    <row r="95" spans="1:9" x14ac:dyDescent="0.25">
      <c r="A95" s="9">
        <v>491</v>
      </c>
      <c r="B95" s="3" t="s">
        <v>98</v>
      </c>
      <c r="C95" s="3">
        <v>41</v>
      </c>
      <c r="D95" s="3" t="s">
        <v>10</v>
      </c>
      <c r="E95" s="3" t="s">
        <v>193</v>
      </c>
      <c r="F95" s="3" t="s">
        <v>322</v>
      </c>
      <c r="G95" s="3" t="s">
        <v>323</v>
      </c>
      <c r="H95" s="3" t="s">
        <v>26</v>
      </c>
      <c r="I95" s="10">
        <v>1.5</v>
      </c>
    </row>
    <row r="96" spans="1:9" x14ac:dyDescent="0.25">
      <c r="A96" s="9">
        <v>165</v>
      </c>
      <c r="B96" s="3" t="s">
        <v>324</v>
      </c>
      <c r="C96" s="3">
        <v>23</v>
      </c>
      <c r="D96" s="3" t="s">
        <v>39</v>
      </c>
      <c r="E96" s="3" t="s">
        <v>23</v>
      </c>
      <c r="F96" s="3" t="s">
        <v>325</v>
      </c>
      <c r="G96" s="3" t="s">
        <v>326</v>
      </c>
      <c r="H96" s="3" t="s">
        <v>75</v>
      </c>
      <c r="I96" s="10">
        <v>2.4</v>
      </c>
    </row>
    <row r="97" spans="1:9" x14ac:dyDescent="0.25">
      <c r="A97" s="9">
        <v>217</v>
      </c>
      <c r="B97" s="3" t="s">
        <v>327</v>
      </c>
      <c r="C97" s="3">
        <v>36</v>
      </c>
      <c r="D97" s="3" t="s">
        <v>16</v>
      </c>
      <c r="E97" s="3" t="s">
        <v>255</v>
      </c>
      <c r="F97" s="3" t="s">
        <v>328</v>
      </c>
      <c r="G97" s="3" t="s">
        <v>329</v>
      </c>
      <c r="H97" s="3" t="s">
        <v>142</v>
      </c>
      <c r="I97" s="10">
        <v>3.3</v>
      </c>
    </row>
    <row r="98" spans="1:9" x14ac:dyDescent="0.25">
      <c r="A98" s="9">
        <v>163</v>
      </c>
      <c r="B98" s="3" t="s">
        <v>330</v>
      </c>
      <c r="C98" s="3">
        <v>20</v>
      </c>
      <c r="D98" s="3" t="s">
        <v>10</v>
      </c>
      <c r="E98" s="3" t="s">
        <v>204</v>
      </c>
      <c r="F98" s="3" t="s">
        <v>331</v>
      </c>
      <c r="G98" s="3" t="s">
        <v>332</v>
      </c>
      <c r="H98" s="3" t="s">
        <v>333</v>
      </c>
      <c r="I98" s="10">
        <v>2.6</v>
      </c>
    </row>
    <row r="99" spans="1:9" x14ac:dyDescent="0.25">
      <c r="A99" s="9">
        <v>366</v>
      </c>
      <c r="B99" s="3" t="s">
        <v>334</v>
      </c>
      <c r="C99" s="3">
        <v>39</v>
      </c>
      <c r="D99" s="3" t="s">
        <v>22</v>
      </c>
      <c r="E99" s="3" t="s">
        <v>11</v>
      </c>
      <c r="F99" s="3" t="s">
        <v>335</v>
      </c>
      <c r="G99" s="3" t="s">
        <v>336</v>
      </c>
      <c r="H99" s="3" t="s">
        <v>219</v>
      </c>
      <c r="I99" s="10">
        <v>4.3</v>
      </c>
    </row>
    <row r="100" spans="1:9" x14ac:dyDescent="0.25">
      <c r="A100" s="9">
        <v>57</v>
      </c>
      <c r="B100" s="3" t="s">
        <v>337</v>
      </c>
      <c r="C100" s="3">
        <v>59</v>
      </c>
      <c r="D100" s="3" t="s">
        <v>10</v>
      </c>
      <c r="E100" s="3" t="s">
        <v>55</v>
      </c>
      <c r="F100" s="3" t="s">
        <v>338</v>
      </c>
      <c r="G100" s="3" t="s">
        <v>339</v>
      </c>
      <c r="H100" s="3" t="s">
        <v>46</v>
      </c>
      <c r="I100" s="10">
        <v>2.9</v>
      </c>
    </row>
    <row r="101" spans="1:9" x14ac:dyDescent="0.25">
      <c r="A101" s="9">
        <v>471</v>
      </c>
      <c r="B101" s="3" t="s">
        <v>340</v>
      </c>
      <c r="C101" s="3">
        <v>34</v>
      </c>
      <c r="D101" s="3" t="s">
        <v>59</v>
      </c>
      <c r="E101" s="3" t="s">
        <v>49</v>
      </c>
      <c r="F101" s="3" t="s">
        <v>341</v>
      </c>
      <c r="G101" s="3" t="s">
        <v>342</v>
      </c>
      <c r="H101" s="3" t="s">
        <v>112</v>
      </c>
      <c r="I101" s="10">
        <v>4.4000000000000004</v>
      </c>
    </row>
    <row r="102" spans="1:9" x14ac:dyDescent="0.25">
      <c r="A102" s="9">
        <v>3</v>
      </c>
      <c r="B102" s="3" t="s">
        <v>343</v>
      </c>
      <c r="C102" s="3">
        <v>32</v>
      </c>
      <c r="D102" s="3" t="s">
        <v>10</v>
      </c>
      <c r="E102" s="3" t="s">
        <v>49</v>
      </c>
      <c r="F102" s="3" t="s">
        <v>344</v>
      </c>
      <c r="G102" s="3" t="s">
        <v>345</v>
      </c>
      <c r="H102" s="3" t="s">
        <v>156</v>
      </c>
      <c r="I102" s="10">
        <v>3.4</v>
      </c>
    </row>
    <row r="103" spans="1:9" x14ac:dyDescent="0.25">
      <c r="A103" s="9">
        <v>59</v>
      </c>
      <c r="B103" s="3" t="s">
        <v>324</v>
      </c>
      <c r="C103" s="3">
        <v>46</v>
      </c>
      <c r="D103" s="3" t="s">
        <v>59</v>
      </c>
      <c r="E103" s="3" t="s">
        <v>23</v>
      </c>
      <c r="F103" s="3" t="s">
        <v>346</v>
      </c>
      <c r="G103" s="3" t="s">
        <v>347</v>
      </c>
      <c r="H103" s="3" t="s">
        <v>32</v>
      </c>
      <c r="I103" s="10">
        <v>1.3</v>
      </c>
    </row>
    <row r="104" spans="1:9" x14ac:dyDescent="0.25">
      <c r="A104" s="9">
        <v>372</v>
      </c>
      <c r="B104" s="3" t="s">
        <v>348</v>
      </c>
      <c r="C104" s="3">
        <v>32</v>
      </c>
      <c r="D104" s="3" t="s">
        <v>22</v>
      </c>
      <c r="E104" s="3" t="s">
        <v>49</v>
      </c>
      <c r="F104" s="3" t="s">
        <v>349</v>
      </c>
      <c r="G104" s="3" t="s">
        <v>350</v>
      </c>
      <c r="H104" s="3" t="s">
        <v>268</v>
      </c>
      <c r="I104" s="10">
        <v>3.5</v>
      </c>
    </row>
    <row r="105" spans="1:9" x14ac:dyDescent="0.25">
      <c r="A105" s="9">
        <v>241</v>
      </c>
      <c r="B105" s="3" t="s">
        <v>211</v>
      </c>
      <c r="C105" s="3">
        <v>43</v>
      </c>
      <c r="D105" s="3" t="s">
        <v>16</v>
      </c>
      <c r="E105" s="3" t="s">
        <v>351</v>
      </c>
      <c r="F105" s="3" t="s">
        <v>352</v>
      </c>
      <c r="G105" s="3" t="s">
        <v>353</v>
      </c>
      <c r="H105" s="3" t="s">
        <v>136</v>
      </c>
      <c r="I105" s="10">
        <v>4.2</v>
      </c>
    </row>
    <row r="106" spans="1:9" x14ac:dyDescent="0.25">
      <c r="A106" s="9">
        <v>268</v>
      </c>
      <c r="B106" s="3" t="s">
        <v>354</v>
      </c>
      <c r="C106" s="3">
        <v>46</v>
      </c>
      <c r="D106" s="3" t="s">
        <v>16</v>
      </c>
      <c r="E106" s="3" t="s">
        <v>23</v>
      </c>
      <c r="F106" s="3" t="s">
        <v>117</v>
      </c>
      <c r="G106" s="3" t="s">
        <v>355</v>
      </c>
      <c r="H106" s="3" t="s">
        <v>356</v>
      </c>
      <c r="I106" s="10">
        <v>2.4</v>
      </c>
    </row>
    <row r="107" spans="1:9" x14ac:dyDescent="0.25">
      <c r="A107" s="9">
        <v>500</v>
      </c>
      <c r="B107" s="3" t="s">
        <v>357</v>
      </c>
      <c r="C107" s="3">
        <v>49</v>
      </c>
      <c r="D107" s="3" t="s">
        <v>28</v>
      </c>
      <c r="E107" s="3" t="s">
        <v>23</v>
      </c>
      <c r="F107" s="3" t="s">
        <v>358</v>
      </c>
      <c r="G107" s="3" t="s">
        <v>359</v>
      </c>
      <c r="H107" s="3" t="s">
        <v>136</v>
      </c>
      <c r="I107" s="10">
        <v>1.1000000000000001</v>
      </c>
    </row>
    <row r="108" spans="1:9" x14ac:dyDescent="0.25">
      <c r="A108" s="9">
        <v>75</v>
      </c>
      <c r="B108" s="3" t="s">
        <v>360</v>
      </c>
      <c r="C108" s="3">
        <v>41</v>
      </c>
      <c r="D108" s="3" t="s">
        <v>39</v>
      </c>
      <c r="E108" s="3" t="s">
        <v>124</v>
      </c>
      <c r="F108" s="3" t="s">
        <v>361</v>
      </c>
      <c r="G108" s="3" t="s">
        <v>362</v>
      </c>
      <c r="H108" s="3" t="s">
        <v>75</v>
      </c>
      <c r="I108" s="10">
        <v>1.6</v>
      </c>
    </row>
    <row r="109" spans="1:9" x14ac:dyDescent="0.25">
      <c r="A109" s="9">
        <v>331</v>
      </c>
      <c r="B109" s="3" t="s">
        <v>363</v>
      </c>
      <c r="C109" s="3">
        <v>49</v>
      </c>
      <c r="D109" s="3" t="s">
        <v>28</v>
      </c>
      <c r="E109" s="3" t="s">
        <v>81</v>
      </c>
      <c r="F109" s="3" t="s">
        <v>364</v>
      </c>
      <c r="G109" s="3" t="s">
        <v>365</v>
      </c>
      <c r="H109" s="3" t="s">
        <v>26</v>
      </c>
      <c r="I109" s="10">
        <v>3</v>
      </c>
    </row>
    <row r="110" spans="1:9" x14ac:dyDescent="0.25">
      <c r="A110" s="9">
        <v>477</v>
      </c>
      <c r="B110" s="3" t="s">
        <v>366</v>
      </c>
      <c r="C110" s="3">
        <v>43</v>
      </c>
      <c r="D110" s="3" t="s">
        <v>48</v>
      </c>
      <c r="E110" s="3" t="s">
        <v>81</v>
      </c>
      <c r="F110" s="3" t="s">
        <v>367</v>
      </c>
      <c r="G110" s="3" t="s">
        <v>368</v>
      </c>
      <c r="H110" s="3" t="s">
        <v>32</v>
      </c>
      <c r="I110" s="10">
        <v>4.9000000000000004</v>
      </c>
    </row>
    <row r="111" spans="1:9" x14ac:dyDescent="0.25">
      <c r="A111" s="9">
        <v>422</v>
      </c>
      <c r="B111" s="3" t="s">
        <v>199</v>
      </c>
      <c r="C111" s="3">
        <v>29</v>
      </c>
      <c r="D111" s="3" t="s">
        <v>39</v>
      </c>
      <c r="E111" s="3" t="s">
        <v>23</v>
      </c>
      <c r="F111" s="3" t="s">
        <v>369</v>
      </c>
      <c r="G111" s="3" t="s">
        <v>370</v>
      </c>
      <c r="H111" s="3" t="s">
        <v>67</v>
      </c>
      <c r="I111" s="10">
        <v>2.7</v>
      </c>
    </row>
    <row r="112" spans="1:9" x14ac:dyDescent="0.25">
      <c r="A112" s="9">
        <v>278</v>
      </c>
      <c r="B112" s="3" t="s">
        <v>298</v>
      </c>
      <c r="C112" s="3">
        <v>50</v>
      </c>
      <c r="D112" s="3" t="s">
        <v>48</v>
      </c>
      <c r="E112" s="3" t="s">
        <v>124</v>
      </c>
      <c r="F112" s="3" t="s">
        <v>371</v>
      </c>
      <c r="G112" s="3" t="s">
        <v>372</v>
      </c>
      <c r="H112" s="3" t="s">
        <v>112</v>
      </c>
      <c r="I112" s="10">
        <v>1.9</v>
      </c>
    </row>
    <row r="113" spans="1:9" x14ac:dyDescent="0.25">
      <c r="A113" s="9">
        <v>81</v>
      </c>
      <c r="B113" s="3" t="s">
        <v>27</v>
      </c>
      <c r="C113" s="3">
        <v>18</v>
      </c>
      <c r="D113" s="3" t="s">
        <v>16</v>
      </c>
      <c r="E113" s="3" t="s">
        <v>29</v>
      </c>
      <c r="F113" s="3" t="s">
        <v>373</v>
      </c>
      <c r="G113" s="3" t="s">
        <v>374</v>
      </c>
      <c r="H113" s="3" t="s">
        <v>142</v>
      </c>
      <c r="I113" s="10">
        <v>3.7</v>
      </c>
    </row>
    <row r="114" spans="1:9" x14ac:dyDescent="0.25">
      <c r="A114" s="9">
        <v>243</v>
      </c>
      <c r="B114" s="3" t="s">
        <v>375</v>
      </c>
      <c r="C114" s="3">
        <v>18</v>
      </c>
      <c r="D114" s="3" t="s">
        <v>10</v>
      </c>
      <c r="E114" s="3" t="s">
        <v>88</v>
      </c>
      <c r="F114" s="3" t="s">
        <v>376</v>
      </c>
      <c r="G114" s="3" t="s">
        <v>377</v>
      </c>
      <c r="H114" s="3" t="s">
        <v>268</v>
      </c>
      <c r="I114" s="10">
        <v>3.5</v>
      </c>
    </row>
    <row r="115" spans="1:9" x14ac:dyDescent="0.25">
      <c r="A115" s="9">
        <v>27</v>
      </c>
      <c r="B115" s="3" t="s">
        <v>199</v>
      </c>
      <c r="C115" s="3">
        <v>44</v>
      </c>
      <c r="D115" s="3" t="s">
        <v>22</v>
      </c>
      <c r="E115" s="3" t="s">
        <v>106</v>
      </c>
      <c r="F115" s="3" t="s">
        <v>378</v>
      </c>
      <c r="G115" s="3"/>
      <c r="H115" s="3" t="s">
        <v>75</v>
      </c>
      <c r="I115" s="10">
        <v>2.4</v>
      </c>
    </row>
    <row r="116" spans="1:9" x14ac:dyDescent="0.25">
      <c r="A116" s="9">
        <v>203</v>
      </c>
      <c r="B116" s="3" t="s">
        <v>379</v>
      </c>
      <c r="C116" s="3">
        <v>22</v>
      </c>
      <c r="D116" s="3" t="s">
        <v>22</v>
      </c>
      <c r="E116" s="3" t="s">
        <v>351</v>
      </c>
      <c r="F116" s="3" t="s">
        <v>380</v>
      </c>
      <c r="G116" s="3" t="s">
        <v>381</v>
      </c>
      <c r="H116" s="3" t="s">
        <v>46</v>
      </c>
      <c r="I116" s="10">
        <v>3.9</v>
      </c>
    </row>
    <row r="117" spans="1:9" x14ac:dyDescent="0.25">
      <c r="A117" s="9">
        <v>213</v>
      </c>
      <c r="B117" s="3" t="s">
        <v>382</v>
      </c>
      <c r="C117" s="3">
        <v>46</v>
      </c>
      <c r="D117" s="3" t="s">
        <v>10</v>
      </c>
      <c r="E117" s="3" t="s">
        <v>193</v>
      </c>
      <c r="F117" s="3" t="s">
        <v>383</v>
      </c>
      <c r="G117" s="3" t="s">
        <v>384</v>
      </c>
      <c r="H117" s="3" t="s">
        <v>14</v>
      </c>
      <c r="I117" s="10">
        <v>1.2</v>
      </c>
    </row>
    <row r="118" spans="1:9" x14ac:dyDescent="0.25">
      <c r="A118" s="9">
        <v>282</v>
      </c>
      <c r="B118" s="3" t="s">
        <v>385</v>
      </c>
      <c r="C118" s="3">
        <v>25</v>
      </c>
      <c r="D118" s="3" t="s">
        <v>16</v>
      </c>
      <c r="E118" s="3" t="s">
        <v>386</v>
      </c>
      <c r="F118" s="3" t="s">
        <v>387</v>
      </c>
      <c r="G118" s="3" t="s">
        <v>388</v>
      </c>
      <c r="H118" s="3" t="s">
        <v>112</v>
      </c>
      <c r="I118" s="10">
        <v>2.7</v>
      </c>
    </row>
    <row r="119" spans="1:9" x14ac:dyDescent="0.25">
      <c r="A119" s="9">
        <v>354</v>
      </c>
      <c r="B119" s="3" t="s">
        <v>389</v>
      </c>
      <c r="C119" s="3">
        <v>18</v>
      </c>
      <c r="D119" s="3" t="s">
        <v>59</v>
      </c>
      <c r="E119" s="3" t="s">
        <v>124</v>
      </c>
      <c r="F119" s="3" t="s">
        <v>390</v>
      </c>
      <c r="G119" s="3" t="s">
        <v>391</v>
      </c>
      <c r="H119" s="3" t="s">
        <v>63</v>
      </c>
      <c r="I119" s="10">
        <v>3.5</v>
      </c>
    </row>
    <row r="120" spans="1:9" x14ac:dyDescent="0.25">
      <c r="A120" s="9">
        <v>365</v>
      </c>
      <c r="B120" s="3" t="s">
        <v>91</v>
      </c>
      <c r="C120" s="3">
        <v>40</v>
      </c>
      <c r="D120" s="3" t="s">
        <v>59</v>
      </c>
      <c r="E120" s="3" t="s">
        <v>193</v>
      </c>
      <c r="F120" s="3" t="s">
        <v>392</v>
      </c>
      <c r="G120" s="3" t="s">
        <v>393</v>
      </c>
      <c r="H120" s="3" t="s">
        <v>67</v>
      </c>
      <c r="I120" s="10">
        <v>4.3</v>
      </c>
    </row>
    <row r="121" spans="1:9" x14ac:dyDescent="0.25">
      <c r="A121" s="9">
        <v>146</v>
      </c>
      <c r="B121" s="3" t="s">
        <v>9</v>
      </c>
      <c r="C121" s="3">
        <v>45</v>
      </c>
      <c r="D121" s="3" t="s">
        <v>39</v>
      </c>
      <c r="E121" s="3" t="s">
        <v>55</v>
      </c>
      <c r="F121" s="3" t="s">
        <v>394</v>
      </c>
      <c r="G121" s="3" t="s">
        <v>395</v>
      </c>
      <c r="H121" s="3" t="s">
        <v>356</v>
      </c>
      <c r="I121" s="10">
        <v>1.5</v>
      </c>
    </row>
    <row r="122" spans="1:9" x14ac:dyDescent="0.25">
      <c r="A122" s="9">
        <v>421</v>
      </c>
      <c r="B122" s="3" t="s">
        <v>324</v>
      </c>
      <c r="C122" s="3"/>
      <c r="D122" s="3" t="s">
        <v>16</v>
      </c>
      <c r="E122" s="3" t="s">
        <v>106</v>
      </c>
      <c r="F122" s="3" t="s">
        <v>396</v>
      </c>
      <c r="G122" s="3" t="s">
        <v>397</v>
      </c>
      <c r="H122" s="3" t="s">
        <v>37</v>
      </c>
      <c r="I122" s="10">
        <v>1.6</v>
      </c>
    </row>
    <row r="123" spans="1:9" x14ac:dyDescent="0.25">
      <c r="A123" s="9">
        <v>109</v>
      </c>
      <c r="B123" s="3" t="s">
        <v>398</v>
      </c>
      <c r="C123" s="3">
        <v>52</v>
      </c>
      <c r="D123" s="3" t="s">
        <v>48</v>
      </c>
      <c r="E123" s="3" t="s">
        <v>49</v>
      </c>
      <c r="F123" s="3" t="s">
        <v>399</v>
      </c>
      <c r="G123" s="3" t="s">
        <v>400</v>
      </c>
      <c r="H123" s="3" t="s">
        <v>46</v>
      </c>
      <c r="I123" s="10">
        <v>2.5</v>
      </c>
    </row>
    <row r="124" spans="1:9" x14ac:dyDescent="0.25">
      <c r="A124" s="9">
        <v>51</v>
      </c>
      <c r="B124" s="3" t="s">
        <v>157</v>
      </c>
      <c r="C124" s="3"/>
      <c r="D124" s="3" t="s">
        <v>59</v>
      </c>
      <c r="E124" s="3" t="s">
        <v>55</v>
      </c>
      <c r="F124" s="3" t="s">
        <v>401</v>
      </c>
      <c r="G124" s="3" t="s">
        <v>402</v>
      </c>
      <c r="H124" s="3" t="s">
        <v>242</v>
      </c>
      <c r="I124" s="10">
        <v>4</v>
      </c>
    </row>
    <row r="125" spans="1:9" x14ac:dyDescent="0.25">
      <c r="A125" s="9">
        <v>436</v>
      </c>
      <c r="B125" s="3" t="s">
        <v>403</v>
      </c>
      <c r="C125" s="3">
        <v>51</v>
      </c>
      <c r="D125" s="3" t="s">
        <v>39</v>
      </c>
      <c r="E125" s="3" t="s">
        <v>11</v>
      </c>
      <c r="F125" s="3" t="s">
        <v>404</v>
      </c>
      <c r="G125" s="3" t="s">
        <v>405</v>
      </c>
      <c r="H125" s="3" t="s">
        <v>101</v>
      </c>
      <c r="I125" s="10">
        <v>4.5</v>
      </c>
    </row>
    <row r="126" spans="1:9" x14ac:dyDescent="0.25">
      <c r="A126" s="9">
        <v>301</v>
      </c>
      <c r="B126" s="3" t="s">
        <v>254</v>
      </c>
      <c r="C126" s="3">
        <v>50</v>
      </c>
      <c r="D126" s="3" t="s">
        <v>10</v>
      </c>
      <c r="E126" s="3" t="s">
        <v>49</v>
      </c>
      <c r="F126" s="3" t="s">
        <v>406</v>
      </c>
      <c r="G126" s="3"/>
      <c r="H126" s="3" t="s">
        <v>136</v>
      </c>
      <c r="I126" s="10">
        <v>4.9000000000000004</v>
      </c>
    </row>
    <row r="127" spans="1:9" x14ac:dyDescent="0.25">
      <c r="A127" s="9">
        <v>15</v>
      </c>
      <c r="B127" s="3" t="s">
        <v>407</v>
      </c>
      <c r="C127" s="3"/>
      <c r="D127" s="3" t="s">
        <v>10</v>
      </c>
      <c r="E127" s="3" t="s">
        <v>204</v>
      </c>
      <c r="F127" s="3" t="s">
        <v>408</v>
      </c>
      <c r="G127" s="3" t="s">
        <v>409</v>
      </c>
      <c r="H127" s="3" t="s">
        <v>333</v>
      </c>
      <c r="I127" s="10">
        <v>3.1</v>
      </c>
    </row>
    <row r="128" spans="1:9" x14ac:dyDescent="0.25">
      <c r="A128" s="9">
        <v>465</v>
      </c>
      <c r="B128" s="3" t="s">
        <v>80</v>
      </c>
      <c r="C128" s="3">
        <v>30</v>
      </c>
      <c r="D128" s="3" t="s">
        <v>22</v>
      </c>
      <c r="E128" s="3" t="s">
        <v>40</v>
      </c>
      <c r="F128" s="3" t="s">
        <v>410</v>
      </c>
      <c r="G128" s="3" t="s">
        <v>411</v>
      </c>
      <c r="H128" s="3" t="s">
        <v>115</v>
      </c>
      <c r="I128" s="10">
        <v>1.3</v>
      </c>
    </row>
    <row r="129" spans="1:9" x14ac:dyDescent="0.25">
      <c r="A129" s="9">
        <v>391</v>
      </c>
      <c r="B129" s="3" t="s">
        <v>286</v>
      </c>
      <c r="C129" s="3">
        <v>45</v>
      </c>
      <c r="D129" s="3" t="s">
        <v>22</v>
      </c>
      <c r="E129" s="3" t="s">
        <v>95</v>
      </c>
      <c r="F129" s="3" t="s">
        <v>412</v>
      </c>
      <c r="G129" s="3" t="s">
        <v>413</v>
      </c>
      <c r="H129" s="3" t="s">
        <v>32</v>
      </c>
      <c r="I129" s="10">
        <v>3.3</v>
      </c>
    </row>
    <row r="130" spans="1:9" x14ac:dyDescent="0.25">
      <c r="A130" s="9">
        <v>115</v>
      </c>
      <c r="B130" s="3" t="s">
        <v>414</v>
      </c>
      <c r="C130" s="3">
        <v>52</v>
      </c>
      <c r="D130" s="3" t="s">
        <v>28</v>
      </c>
      <c r="E130" s="3" t="s">
        <v>34</v>
      </c>
      <c r="F130" s="3" t="s">
        <v>415</v>
      </c>
      <c r="G130" s="3" t="s">
        <v>416</v>
      </c>
      <c r="H130" s="3" t="s">
        <v>32</v>
      </c>
      <c r="I130" s="10">
        <v>2.7</v>
      </c>
    </row>
    <row r="131" spans="1:9" x14ac:dyDescent="0.25">
      <c r="A131" s="9">
        <v>244</v>
      </c>
      <c r="B131" s="3" t="s">
        <v>417</v>
      </c>
      <c r="C131" s="3">
        <v>29</v>
      </c>
      <c r="D131" s="3" t="s">
        <v>48</v>
      </c>
      <c r="E131" s="3" t="s">
        <v>55</v>
      </c>
      <c r="F131" s="3" t="s">
        <v>418</v>
      </c>
      <c r="G131" s="3" t="s">
        <v>419</v>
      </c>
      <c r="H131" s="3" t="s">
        <v>46</v>
      </c>
      <c r="I131" s="10">
        <v>4.5</v>
      </c>
    </row>
    <row r="132" spans="1:9" x14ac:dyDescent="0.25">
      <c r="A132" s="9">
        <v>60</v>
      </c>
      <c r="B132" s="3" t="s">
        <v>420</v>
      </c>
      <c r="C132" s="3">
        <v>35</v>
      </c>
      <c r="D132" s="3" t="s">
        <v>28</v>
      </c>
      <c r="E132" s="3"/>
      <c r="F132" s="3" t="s">
        <v>421</v>
      </c>
      <c r="G132" s="3" t="s">
        <v>422</v>
      </c>
      <c r="H132" s="3" t="s">
        <v>136</v>
      </c>
      <c r="I132" s="10">
        <v>4.0999999999999996</v>
      </c>
    </row>
    <row r="133" spans="1:9" x14ac:dyDescent="0.25">
      <c r="A133" s="9">
        <v>174</v>
      </c>
      <c r="B133" s="3" t="s">
        <v>423</v>
      </c>
      <c r="C133" s="3">
        <v>49</v>
      </c>
      <c r="D133" s="3" t="s">
        <v>59</v>
      </c>
      <c r="E133" s="3" t="s">
        <v>72</v>
      </c>
      <c r="F133" s="3" t="s">
        <v>424</v>
      </c>
      <c r="G133" s="3" t="s">
        <v>425</v>
      </c>
      <c r="H133" s="3" t="s">
        <v>46</v>
      </c>
      <c r="I133" s="10">
        <v>1.1000000000000001</v>
      </c>
    </row>
    <row r="134" spans="1:9" x14ac:dyDescent="0.25">
      <c r="A134" s="9">
        <v>99</v>
      </c>
      <c r="B134" s="3" t="s">
        <v>426</v>
      </c>
      <c r="C134" s="3">
        <v>45</v>
      </c>
      <c r="D134" s="3" t="s">
        <v>54</v>
      </c>
      <c r="E134" s="3" t="s">
        <v>60</v>
      </c>
      <c r="F134" s="3" t="s">
        <v>427</v>
      </c>
      <c r="G134" s="3" t="s">
        <v>428</v>
      </c>
      <c r="H134" s="3" t="s">
        <v>46</v>
      </c>
      <c r="I134" s="10">
        <v>1.3</v>
      </c>
    </row>
    <row r="135" spans="1:9" x14ac:dyDescent="0.25">
      <c r="A135" s="9">
        <v>160</v>
      </c>
      <c r="B135" s="3" t="s">
        <v>429</v>
      </c>
      <c r="C135" s="3">
        <v>44</v>
      </c>
      <c r="D135" s="3" t="s">
        <v>39</v>
      </c>
      <c r="E135" s="3" t="s">
        <v>204</v>
      </c>
      <c r="F135" s="3" t="s">
        <v>430</v>
      </c>
      <c r="G135" s="3" t="s">
        <v>431</v>
      </c>
      <c r="H135" s="3" t="s">
        <v>75</v>
      </c>
      <c r="I135" s="10">
        <v>1.3</v>
      </c>
    </row>
    <row r="136" spans="1:9" x14ac:dyDescent="0.25">
      <c r="A136" s="9">
        <v>250</v>
      </c>
      <c r="B136" s="3" t="s">
        <v>432</v>
      </c>
      <c r="C136" s="3">
        <v>52</v>
      </c>
      <c r="D136" s="3" t="s">
        <v>16</v>
      </c>
      <c r="E136" s="3" t="s">
        <v>40</v>
      </c>
      <c r="F136" s="3" t="s">
        <v>433</v>
      </c>
      <c r="G136" s="3" t="s">
        <v>434</v>
      </c>
      <c r="H136" s="3" t="s">
        <v>63</v>
      </c>
      <c r="I136" s="10">
        <v>4.5</v>
      </c>
    </row>
    <row r="137" spans="1:9" x14ac:dyDescent="0.25">
      <c r="A137" s="9">
        <v>42</v>
      </c>
      <c r="B137" s="3" t="s">
        <v>435</v>
      </c>
      <c r="C137" s="3">
        <v>26</v>
      </c>
      <c r="D137" s="3" t="s">
        <v>59</v>
      </c>
      <c r="E137" s="3" t="s">
        <v>239</v>
      </c>
      <c r="F137" s="3" t="s">
        <v>436</v>
      </c>
      <c r="G137" s="3" t="s">
        <v>437</v>
      </c>
      <c r="H137" s="3" t="s">
        <v>232</v>
      </c>
      <c r="I137" s="10">
        <v>1.7</v>
      </c>
    </row>
    <row r="138" spans="1:9" x14ac:dyDescent="0.25">
      <c r="A138" s="9">
        <v>271</v>
      </c>
      <c r="B138" s="3" t="s">
        <v>438</v>
      </c>
      <c r="C138" s="3">
        <v>19</v>
      </c>
      <c r="D138" s="3" t="s">
        <v>59</v>
      </c>
      <c r="E138" s="3" t="s">
        <v>239</v>
      </c>
      <c r="F138" s="3" t="s">
        <v>439</v>
      </c>
      <c r="G138" s="3" t="s">
        <v>440</v>
      </c>
      <c r="H138" s="3" t="s">
        <v>75</v>
      </c>
      <c r="I138" s="10">
        <v>1.9</v>
      </c>
    </row>
    <row r="139" spans="1:9" x14ac:dyDescent="0.25">
      <c r="A139" s="9">
        <v>205</v>
      </c>
      <c r="B139" s="3" t="s">
        <v>157</v>
      </c>
      <c r="C139" s="3">
        <v>23</v>
      </c>
      <c r="D139" s="3" t="s">
        <v>59</v>
      </c>
      <c r="E139" s="3" t="s">
        <v>40</v>
      </c>
      <c r="F139" s="3" t="s">
        <v>441</v>
      </c>
      <c r="G139" s="3" t="s">
        <v>442</v>
      </c>
      <c r="H139" s="3" t="s">
        <v>112</v>
      </c>
      <c r="I139" s="10">
        <v>3.6</v>
      </c>
    </row>
    <row r="140" spans="1:9" x14ac:dyDescent="0.25">
      <c r="A140" s="9">
        <v>218</v>
      </c>
      <c r="B140" s="3" t="s">
        <v>443</v>
      </c>
      <c r="C140" s="3">
        <v>43</v>
      </c>
      <c r="D140" s="3" t="s">
        <v>59</v>
      </c>
      <c r="E140" s="3" t="s">
        <v>29</v>
      </c>
      <c r="F140" s="3" t="s">
        <v>444</v>
      </c>
      <c r="G140" s="3" t="s">
        <v>445</v>
      </c>
      <c r="H140" s="3" t="s">
        <v>32</v>
      </c>
      <c r="I140" s="10">
        <v>4.7</v>
      </c>
    </row>
    <row r="141" spans="1:9" x14ac:dyDescent="0.25">
      <c r="A141" s="9">
        <v>80</v>
      </c>
      <c r="B141" s="3" t="s">
        <v>319</v>
      </c>
      <c r="C141" s="3">
        <v>32</v>
      </c>
      <c r="D141" s="3" t="s">
        <v>10</v>
      </c>
      <c r="E141" s="3" t="s">
        <v>351</v>
      </c>
      <c r="F141" s="3" t="s">
        <v>446</v>
      </c>
      <c r="G141" s="3" t="s">
        <v>447</v>
      </c>
      <c r="H141" s="3" t="s">
        <v>333</v>
      </c>
      <c r="I141" s="10">
        <v>1.9</v>
      </c>
    </row>
    <row r="142" spans="1:9" x14ac:dyDescent="0.25">
      <c r="A142" s="9">
        <v>29</v>
      </c>
      <c r="B142" s="3" t="s">
        <v>448</v>
      </c>
      <c r="C142" s="3">
        <v>45</v>
      </c>
      <c r="D142" s="3" t="s">
        <v>39</v>
      </c>
      <c r="E142" s="3" t="s">
        <v>144</v>
      </c>
      <c r="F142" s="3" t="s">
        <v>449</v>
      </c>
      <c r="G142" s="3" t="s">
        <v>450</v>
      </c>
      <c r="H142" s="3" t="s">
        <v>219</v>
      </c>
      <c r="I142" s="10">
        <v>2.8</v>
      </c>
    </row>
    <row r="143" spans="1:9" x14ac:dyDescent="0.25">
      <c r="A143" s="9">
        <v>345</v>
      </c>
      <c r="B143" s="3" t="s">
        <v>451</v>
      </c>
      <c r="C143" s="3">
        <v>59</v>
      </c>
      <c r="D143" s="3" t="s">
        <v>22</v>
      </c>
      <c r="E143" s="3" t="s">
        <v>34</v>
      </c>
      <c r="F143" s="3" t="s">
        <v>452</v>
      </c>
      <c r="G143" s="3" t="s">
        <v>453</v>
      </c>
      <c r="H143" s="3" t="s">
        <v>112</v>
      </c>
      <c r="I143" s="10">
        <v>4.5</v>
      </c>
    </row>
    <row r="144" spans="1:9" x14ac:dyDescent="0.25">
      <c r="A144" s="9">
        <v>364</v>
      </c>
      <c r="B144" s="3" t="s">
        <v>454</v>
      </c>
      <c r="C144" s="3">
        <v>49</v>
      </c>
      <c r="D144" s="3" t="s">
        <v>54</v>
      </c>
      <c r="E144" s="3" t="s">
        <v>106</v>
      </c>
      <c r="F144" s="3" t="s">
        <v>455</v>
      </c>
      <c r="G144" s="3" t="s">
        <v>456</v>
      </c>
      <c r="H144" s="3" t="s">
        <v>115</v>
      </c>
      <c r="I144" s="10">
        <v>1.6</v>
      </c>
    </row>
    <row r="145" spans="1:9" x14ac:dyDescent="0.25">
      <c r="A145" s="9">
        <v>257</v>
      </c>
      <c r="B145" s="3" t="s">
        <v>182</v>
      </c>
      <c r="C145" s="3">
        <v>41</v>
      </c>
      <c r="D145" s="3" t="s">
        <v>28</v>
      </c>
      <c r="E145" s="3" t="s">
        <v>60</v>
      </c>
      <c r="F145" s="3" t="s">
        <v>457</v>
      </c>
      <c r="G145" s="3" t="s">
        <v>458</v>
      </c>
      <c r="H145" s="3" t="s">
        <v>67</v>
      </c>
      <c r="I145" s="10">
        <v>2.6</v>
      </c>
    </row>
    <row r="146" spans="1:9" x14ac:dyDescent="0.25">
      <c r="A146" s="9">
        <v>466</v>
      </c>
      <c r="B146" s="3" t="s">
        <v>133</v>
      </c>
      <c r="C146" s="3">
        <v>29</v>
      </c>
      <c r="D146" s="3" t="s">
        <v>59</v>
      </c>
      <c r="E146" s="3" t="s">
        <v>239</v>
      </c>
      <c r="F146" s="3" t="s">
        <v>459</v>
      </c>
      <c r="G146" s="3" t="s">
        <v>460</v>
      </c>
      <c r="H146" s="3" t="s">
        <v>75</v>
      </c>
      <c r="I146" s="10">
        <v>2.6</v>
      </c>
    </row>
    <row r="147" spans="1:9" x14ac:dyDescent="0.25">
      <c r="A147" s="9">
        <v>58</v>
      </c>
      <c r="B147" s="3" t="s">
        <v>389</v>
      </c>
      <c r="C147" s="3">
        <v>21</v>
      </c>
      <c r="D147" s="3" t="s">
        <v>59</v>
      </c>
      <c r="E147" s="3" t="s">
        <v>386</v>
      </c>
      <c r="F147" s="3" t="s">
        <v>461</v>
      </c>
      <c r="G147" s="3" t="s">
        <v>462</v>
      </c>
      <c r="H147" s="3" t="s">
        <v>79</v>
      </c>
      <c r="I147" s="10">
        <v>3.3</v>
      </c>
    </row>
    <row r="148" spans="1:9" x14ac:dyDescent="0.25">
      <c r="A148" s="9">
        <v>427</v>
      </c>
      <c r="B148" s="3" t="s">
        <v>463</v>
      </c>
      <c r="C148" s="3">
        <v>56</v>
      </c>
      <c r="D148" s="3" t="s">
        <v>28</v>
      </c>
      <c r="E148" s="3" t="s">
        <v>351</v>
      </c>
      <c r="F148" s="3" t="s">
        <v>464</v>
      </c>
      <c r="G148" s="3" t="s">
        <v>465</v>
      </c>
      <c r="H148" s="3" t="s">
        <v>115</v>
      </c>
      <c r="I148" s="10">
        <v>2.1</v>
      </c>
    </row>
    <row r="149" spans="1:9" x14ac:dyDescent="0.25">
      <c r="A149" s="9">
        <v>63</v>
      </c>
      <c r="B149" s="3" t="s">
        <v>466</v>
      </c>
      <c r="C149" s="3">
        <v>27</v>
      </c>
      <c r="D149" s="3" t="s">
        <v>59</v>
      </c>
      <c r="E149" s="3" t="s">
        <v>95</v>
      </c>
      <c r="F149" s="3" t="s">
        <v>467</v>
      </c>
      <c r="G149" s="3" t="s">
        <v>468</v>
      </c>
      <c r="H149" s="3" t="s">
        <v>115</v>
      </c>
      <c r="I149" s="10">
        <v>2.8</v>
      </c>
    </row>
    <row r="150" spans="1:9" x14ac:dyDescent="0.25">
      <c r="A150" s="9">
        <v>388</v>
      </c>
      <c r="B150" s="3" t="s">
        <v>292</v>
      </c>
      <c r="C150" s="3">
        <v>36</v>
      </c>
      <c r="D150" s="3" t="s">
        <v>28</v>
      </c>
      <c r="E150" s="3" t="s">
        <v>106</v>
      </c>
      <c r="F150" s="3" t="s">
        <v>469</v>
      </c>
      <c r="G150" s="3" t="s">
        <v>470</v>
      </c>
      <c r="H150" s="3" t="s">
        <v>63</v>
      </c>
      <c r="I150" s="10">
        <v>2.2000000000000002</v>
      </c>
    </row>
    <row r="151" spans="1:9" x14ac:dyDescent="0.25">
      <c r="A151" s="9">
        <v>112</v>
      </c>
      <c r="B151" s="3" t="s">
        <v>471</v>
      </c>
      <c r="C151" s="3">
        <v>44</v>
      </c>
      <c r="D151" s="3" t="s">
        <v>39</v>
      </c>
      <c r="E151" s="3" t="s">
        <v>49</v>
      </c>
      <c r="F151" s="3" t="s">
        <v>472</v>
      </c>
      <c r="G151" s="3" t="s">
        <v>473</v>
      </c>
      <c r="H151" s="3" t="s">
        <v>169</v>
      </c>
      <c r="I151" s="10">
        <v>3.5</v>
      </c>
    </row>
    <row r="152" spans="1:9" x14ac:dyDescent="0.25">
      <c r="A152" s="9">
        <v>85</v>
      </c>
      <c r="B152" s="3" t="s">
        <v>474</v>
      </c>
      <c r="C152" s="3">
        <v>41</v>
      </c>
      <c r="D152" s="3" t="s">
        <v>22</v>
      </c>
      <c r="E152" s="3" t="s">
        <v>29</v>
      </c>
      <c r="F152" s="3" t="s">
        <v>475</v>
      </c>
      <c r="G152" s="3" t="s">
        <v>476</v>
      </c>
      <c r="H152" s="3" t="s">
        <v>26</v>
      </c>
      <c r="I152" s="10">
        <v>1.7</v>
      </c>
    </row>
    <row r="153" spans="1:9" x14ac:dyDescent="0.25">
      <c r="A153" s="9">
        <v>237</v>
      </c>
      <c r="B153" s="3" t="s">
        <v>477</v>
      </c>
      <c r="C153" s="3">
        <v>59</v>
      </c>
      <c r="D153" s="3" t="s">
        <v>59</v>
      </c>
      <c r="E153" s="3" t="s">
        <v>239</v>
      </c>
      <c r="F153" s="3" t="s">
        <v>478</v>
      </c>
      <c r="G153" s="3" t="s">
        <v>479</v>
      </c>
      <c r="H153" s="3" t="s">
        <v>142</v>
      </c>
      <c r="I153" s="10">
        <v>3.9</v>
      </c>
    </row>
    <row r="154" spans="1:9" x14ac:dyDescent="0.25">
      <c r="A154" s="9">
        <v>272</v>
      </c>
      <c r="B154" s="3" t="s">
        <v>480</v>
      </c>
      <c r="C154" s="3">
        <v>52</v>
      </c>
      <c r="D154" s="3" t="s">
        <v>48</v>
      </c>
      <c r="E154" s="3" t="s">
        <v>34</v>
      </c>
      <c r="F154" s="3" t="s">
        <v>481</v>
      </c>
      <c r="G154" s="3" t="s">
        <v>482</v>
      </c>
      <c r="H154" s="3" t="s">
        <v>112</v>
      </c>
      <c r="I154" s="10">
        <v>1.2</v>
      </c>
    </row>
    <row r="155" spans="1:9" x14ac:dyDescent="0.25">
      <c r="A155" s="9">
        <v>343</v>
      </c>
      <c r="B155" s="3" t="s">
        <v>84</v>
      </c>
      <c r="C155" s="3">
        <v>56</v>
      </c>
      <c r="D155" s="3" t="s">
        <v>39</v>
      </c>
      <c r="E155" s="3" t="s">
        <v>34</v>
      </c>
      <c r="F155" s="3" t="s">
        <v>483</v>
      </c>
      <c r="G155" s="3" t="s">
        <v>484</v>
      </c>
      <c r="H155" s="3" t="s">
        <v>219</v>
      </c>
      <c r="I155" s="10">
        <v>3.3</v>
      </c>
    </row>
    <row r="156" spans="1:9" x14ac:dyDescent="0.25">
      <c r="A156" s="9">
        <v>228</v>
      </c>
      <c r="B156" s="3" t="s">
        <v>485</v>
      </c>
      <c r="C156" s="3">
        <v>35</v>
      </c>
      <c r="D156" s="3" t="s">
        <v>16</v>
      </c>
      <c r="E156" s="3" t="s">
        <v>351</v>
      </c>
      <c r="F156" s="3" t="s">
        <v>486</v>
      </c>
      <c r="G156" s="3" t="s">
        <v>487</v>
      </c>
      <c r="H156" s="3" t="s">
        <v>232</v>
      </c>
      <c r="I156" s="10">
        <v>2.2999999999999998</v>
      </c>
    </row>
    <row r="157" spans="1:9" x14ac:dyDescent="0.25">
      <c r="A157" s="9">
        <v>130</v>
      </c>
      <c r="B157" s="3" t="s">
        <v>53</v>
      </c>
      <c r="C157" s="3">
        <v>30</v>
      </c>
      <c r="D157" s="3" t="s">
        <v>22</v>
      </c>
      <c r="E157" s="3" t="s">
        <v>29</v>
      </c>
      <c r="F157" s="3" t="s">
        <v>488</v>
      </c>
      <c r="G157" s="3" t="s">
        <v>489</v>
      </c>
      <c r="H157" s="3" t="s">
        <v>63</v>
      </c>
      <c r="I157" s="10">
        <v>1.6</v>
      </c>
    </row>
    <row r="158" spans="1:9" x14ac:dyDescent="0.25">
      <c r="A158" s="9">
        <v>166</v>
      </c>
      <c r="B158" s="3" t="s">
        <v>98</v>
      </c>
      <c r="C158" s="3">
        <v>25</v>
      </c>
      <c r="D158" s="3" t="s">
        <v>39</v>
      </c>
      <c r="E158" s="3" t="s">
        <v>120</v>
      </c>
      <c r="F158" s="3" t="s">
        <v>490</v>
      </c>
      <c r="G158" s="3" t="s">
        <v>491</v>
      </c>
      <c r="H158" s="3" t="s">
        <v>112</v>
      </c>
      <c r="I158" s="10">
        <v>3.9</v>
      </c>
    </row>
    <row r="159" spans="1:9" x14ac:dyDescent="0.25">
      <c r="A159" s="9">
        <v>97</v>
      </c>
      <c r="B159" s="3" t="s">
        <v>492</v>
      </c>
      <c r="C159" s="3">
        <v>56</v>
      </c>
      <c r="D159" s="3" t="s">
        <v>59</v>
      </c>
      <c r="E159" s="3" t="s">
        <v>200</v>
      </c>
      <c r="F159" s="3" t="s">
        <v>493</v>
      </c>
      <c r="G159" s="3" t="s">
        <v>494</v>
      </c>
      <c r="H159" s="3" t="s">
        <v>52</v>
      </c>
      <c r="I159" s="10">
        <v>4.5999999999999996</v>
      </c>
    </row>
    <row r="160" spans="1:9" x14ac:dyDescent="0.25">
      <c r="A160" s="9">
        <v>489</v>
      </c>
      <c r="B160" s="3" t="s">
        <v>160</v>
      </c>
      <c r="C160" s="3">
        <v>54</v>
      </c>
      <c r="D160" s="3" t="s">
        <v>28</v>
      </c>
      <c r="E160" s="3" t="s">
        <v>255</v>
      </c>
      <c r="F160" s="3" t="s">
        <v>495</v>
      </c>
      <c r="G160" s="3" t="s">
        <v>496</v>
      </c>
      <c r="H160" s="3" t="s">
        <v>52</v>
      </c>
      <c r="I160" s="10"/>
    </row>
    <row r="161" spans="1:9" x14ac:dyDescent="0.25">
      <c r="A161" s="9">
        <v>297</v>
      </c>
      <c r="B161" s="3" t="s">
        <v>303</v>
      </c>
      <c r="C161" s="3">
        <v>38</v>
      </c>
      <c r="D161" s="3" t="s">
        <v>59</v>
      </c>
      <c r="E161" s="3" t="s">
        <v>239</v>
      </c>
      <c r="F161" s="3" t="s">
        <v>497</v>
      </c>
      <c r="G161" s="3" t="s">
        <v>498</v>
      </c>
      <c r="H161" s="3" t="s">
        <v>333</v>
      </c>
      <c r="I161" s="10">
        <v>1.7</v>
      </c>
    </row>
    <row r="162" spans="1:9" x14ac:dyDescent="0.25">
      <c r="A162" s="9">
        <v>480</v>
      </c>
      <c r="B162" s="3" t="s">
        <v>199</v>
      </c>
      <c r="C162" s="3">
        <v>24</v>
      </c>
      <c r="D162" s="3" t="s">
        <v>39</v>
      </c>
      <c r="E162" s="3" t="s">
        <v>120</v>
      </c>
      <c r="F162" s="3" t="s">
        <v>499</v>
      </c>
      <c r="G162" s="3" t="s">
        <v>500</v>
      </c>
      <c r="H162" s="3" t="s">
        <v>112</v>
      </c>
      <c r="I162" s="10">
        <v>3.5</v>
      </c>
    </row>
    <row r="163" spans="1:9" x14ac:dyDescent="0.25">
      <c r="A163" s="9">
        <v>142</v>
      </c>
      <c r="B163" s="3" t="s">
        <v>501</v>
      </c>
      <c r="C163" s="3"/>
      <c r="D163" s="3" t="s">
        <v>48</v>
      </c>
      <c r="E163" s="3" t="s">
        <v>81</v>
      </c>
      <c r="F163" s="3" t="s">
        <v>502</v>
      </c>
      <c r="G163" s="3" t="s">
        <v>503</v>
      </c>
      <c r="H163" s="3" t="s">
        <v>268</v>
      </c>
      <c r="I163" s="10">
        <v>3.6</v>
      </c>
    </row>
    <row r="164" spans="1:9" x14ac:dyDescent="0.25">
      <c r="A164" s="9">
        <v>464</v>
      </c>
      <c r="B164" s="3" t="s">
        <v>71</v>
      </c>
      <c r="C164" s="3">
        <v>46</v>
      </c>
      <c r="D164" s="3" t="s">
        <v>22</v>
      </c>
      <c r="E164" s="3" t="s">
        <v>55</v>
      </c>
      <c r="F164" s="3" t="s">
        <v>504</v>
      </c>
      <c r="G164" s="3" t="s">
        <v>505</v>
      </c>
      <c r="H164" s="3" t="s">
        <v>52</v>
      </c>
      <c r="I164" s="10">
        <v>1</v>
      </c>
    </row>
    <row r="165" spans="1:9" x14ac:dyDescent="0.25">
      <c r="A165" s="9">
        <v>188</v>
      </c>
      <c r="B165" s="3" t="s">
        <v>119</v>
      </c>
      <c r="C165" s="3">
        <v>54</v>
      </c>
      <c r="D165" s="3" t="s">
        <v>39</v>
      </c>
      <c r="E165" s="3" t="s">
        <v>144</v>
      </c>
      <c r="F165" s="3" t="s">
        <v>506</v>
      </c>
      <c r="G165" s="3" t="s">
        <v>507</v>
      </c>
      <c r="H165" s="3" t="s">
        <v>232</v>
      </c>
      <c r="I165" s="10">
        <v>2</v>
      </c>
    </row>
    <row r="166" spans="1:9" x14ac:dyDescent="0.25">
      <c r="A166" s="9">
        <v>369</v>
      </c>
      <c r="B166" s="3" t="s">
        <v>508</v>
      </c>
      <c r="C166" s="3">
        <v>39</v>
      </c>
      <c r="D166" s="3" t="s">
        <v>54</v>
      </c>
      <c r="E166" s="3" t="s">
        <v>95</v>
      </c>
      <c r="F166" s="3" t="s">
        <v>509</v>
      </c>
      <c r="G166" s="3" t="s">
        <v>510</v>
      </c>
      <c r="H166" s="3" t="s">
        <v>142</v>
      </c>
      <c r="I166" s="10">
        <v>2.1</v>
      </c>
    </row>
    <row r="167" spans="1:9" x14ac:dyDescent="0.25">
      <c r="A167" s="9">
        <v>221</v>
      </c>
      <c r="B167" s="3" t="s">
        <v>382</v>
      </c>
      <c r="C167" s="3">
        <v>37</v>
      </c>
      <c r="D167" s="3" t="s">
        <v>48</v>
      </c>
      <c r="E167" s="3" t="s">
        <v>88</v>
      </c>
      <c r="F167" s="3" t="s">
        <v>511</v>
      </c>
      <c r="G167" s="3" t="s">
        <v>512</v>
      </c>
      <c r="H167" s="3" t="s">
        <v>37</v>
      </c>
      <c r="I167" s="10">
        <v>2.2000000000000002</v>
      </c>
    </row>
    <row r="168" spans="1:9" x14ac:dyDescent="0.25">
      <c r="A168" s="9">
        <v>229</v>
      </c>
      <c r="B168" s="3" t="s">
        <v>245</v>
      </c>
      <c r="C168" s="3"/>
      <c r="D168" s="3" t="s">
        <v>54</v>
      </c>
      <c r="E168" s="3" t="s">
        <v>72</v>
      </c>
      <c r="F168" s="3" t="s">
        <v>410</v>
      </c>
      <c r="G168" s="3" t="s">
        <v>513</v>
      </c>
      <c r="H168" s="3" t="s">
        <v>52</v>
      </c>
      <c r="I168" s="10">
        <v>4.3</v>
      </c>
    </row>
    <row r="169" spans="1:9" x14ac:dyDescent="0.25">
      <c r="A169" s="9">
        <v>323</v>
      </c>
      <c r="B169" s="3" t="s">
        <v>185</v>
      </c>
      <c r="C169" s="3">
        <v>20</v>
      </c>
      <c r="D169" s="3" t="s">
        <v>39</v>
      </c>
      <c r="E169" s="3" t="s">
        <v>193</v>
      </c>
      <c r="F169" s="3" t="s">
        <v>514</v>
      </c>
      <c r="G169" s="3" t="s">
        <v>515</v>
      </c>
      <c r="H169" s="3" t="s">
        <v>219</v>
      </c>
      <c r="I169" s="10">
        <v>4.2</v>
      </c>
    </row>
    <row r="170" spans="1:9" x14ac:dyDescent="0.25">
      <c r="A170" s="9">
        <v>396</v>
      </c>
      <c r="B170" s="3" t="s">
        <v>43</v>
      </c>
      <c r="C170" s="3">
        <v>26</v>
      </c>
      <c r="D170" s="3" t="s">
        <v>59</v>
      </c>
      <c r="E170" s="3" t="s">
        <v>34</v>
      </c>
      <c r="F170" s="3" t="s">
        <v>516</v>
      </c>
      <c r="G170" s="3" t="s">
        <v>517</v>
      </c>
      <c r="H170" s="3" t="s">
        <v>169</v>
      </c>
      <c r="I170" s="10">
        <v>4.9000000000000004</v>
      </c>
    </row>
    <row r="171" spans="1:9" x14ac:dyDescent="0.25">
      <c r="A171" s="9">
        <v>360</v>
      </c>
      <c r="B171" s="3" t="s">
        <v>518</v>
      </c>
      <c r="C171" s="3">
        <v>32</v>
      </c>
      <c r="D171" s="3" t="s">
        <v>10</v>
      </c>
      <c r="E171" s="3" t="s">
        <v>81</v>
      </c>
      <c r="F171" s="3" t="s">
        <v>519</v>
      </c>
      <c r="G171" s="3" t="s">
        <v>520</v>
      </c>
      <c r="H171" s="3" t="s">
        <v>112</v>
      </c>
      <c r="I171" s="10">
        <v>4.3</v>
      </c>
    </row>
    <row r="172" spans="1:9" x14ac:dyDescent="0.25">
      <c r="A172" s="9">
        <v>82</v>
      </c>
      <c r="B172" s="3" t="s">
        <v>521</v>
      </c>
      <c r="C172" s="3">
        <v>42</v>
      </c>
      <c r="D172" s="3" t="s">
        <v>48</v>
      </c>
      <c r="E172" s="3" t="s">
        <v>49</v>
      </c>
      <c r="F172" s="3" t="s">
        <v>522</v>
      </c>
      <c r="G172" s="3" t="s">
        <v>523</v>
      </c>
      <c r="H172" s="3" t="s">
        <v>75</v>
      </c>
      <c r="I172" s="10">
        <v>1.1000000000000001</v>
      </c>
    </row>
    <row r="173" spans="1:9" x14ac:dyDescent="0.25">
      <c r="A173" s="9">
        <v>355</v>
      </c>
      <c r="B173" s="3" t="s">
        <v>216</v>
      </c>
      <c r="C173" s="3">
        <v>25</v>
      </c>
      <c r="D173" s="3" t="s">
        <v>10</v>
      </c>
      <c r="E173" s="3" t="s">
        <v>193</v>
      </c>
      <c r="F173" s="3" t="s">
        <v>524</v>
      </c>
      <c r="G173" s="3" t="s">
        <v>525</v>
      </c>
      <c r="H173" s="3" t="s">
        <v>136</v>
      </c>
      <c r="I173" s="10">
        <v>4</v>
      </c>
    </row>
    <row r="174" spans="1:9" x14ac:dyDescent="0.25">
      <c r="A174" s="9">
        <v>322</v>
      </c>
      <c r="B174" s="3" t="s">
        <v>289</v>
      </c>
      <c r="C174" s="3">
        <v>50</v>
      </c>
      <c r="D174" s="3" t="s">
        <v>16</v>
      </c>
      <c r="E174" s="3" t="s">
        <v>124</v>
      </c>
      <c r="F174" s="3" t="s">
        <v>526</v>
      </c>
      <c r="G174" s="3" t="s">
        <v>527</v>
      </c>
      <c r="H174" s="3" t="s">
        <v>101</v>
      </c>
      <c r="I174" s="10">
        <v>4.4000000000000004</v>
      </c>
    </row>
    <row r="175" spans="1:9" x14ac:dyDescent="0.25">
      <c r="A175" s="9">
        <v>67</v>
      </c>
      <c r="B175" s="3" t="s">
        <v>528</v>
      </c>
      <c r="C175" s="3">
        <v>32</v>
      </c>
      <c r="D175" s="3" t="s">
        <v>22</v>
      </c>
      <c r="E175" s="3" t="s">
        <v>120</v>
      </c>
      <c r="F175" s="3" t="s">
        <v>529</v>
      </c>
      <c r="G175" s="3" t="s">
        <v>530</v>
      </c>
      <c r="H175" s="3" t="s">
        <v>115</v>
      </c>
      <c r="I175" s="10">
        <v>1.7</v>
      </c>
    </row>
    <row r="176" spans="1:9" x14ac:dyDescent="0.25">
      <c r="A176" s="9">
        <v>435</v>
      </c>
      <c r="B176" s="3" t="s">
        <v>531</v>
      </c>
      <c r="C176" s="3">
        <v>53</v>
      </c>
      <c r="D176" s="3" t="s">
        <v>10</v>
      </c>
      <c r="E176" s="3" t="s">
        <v>81</v>
      </c>
      <c r="F176" s="3" t="s">
        <v>532</v>
      </c>
      <c r="G176" s="3" t="s">
        <v>533</v>
      </c>
      <c r="H176" s="3" t="s">
        <v>63</v>
      </c>
      <c r="I176" s="10">
        <v>2.5</v>
      </c>
    </row>
    <row r="177" spans="1:9" x14ac:dyDescent="0.25">
      <c r="A177" s="9">
        <v>415</v>
      </c>
      <c r="B177" s="3" t="s">
        <v>277</v>
      </c>
      <c r="C177" s="3">
        <v>39</v>
      </c>
      <c r="D177" s="3" t="s">
        <v>59</v>
      </c>
      <c r="E177" s="3" t="s">
        <v>60</v>
      </c>
      <c r="F177" s="3" t="s">
        <v>534</v>
      </c>
      <c r="G177" s="3" t="s">
        <v>535</v>
      </c>
      <c r="H177" s="3" t="s">
        <v>142</v>
      </c>
      <c r="I177" s="10">
        <v>1.9</v>
      </c>
    </row>
    <row r="178" spans="1:9" x14ac:dyDescent="0.25">
      <c r="A178" s="9">
        <v>189</v>
      </c>
      <c r="B178" s="3" t="s">
        <v>360</v>
      </c>
      <c r="C178" s="3">
        <v>49</v>
      </c>
      <c r="D178" s="3" t="s">
        <v>16</v>
      </c>
      <c r="E178" s="3" t="s">
        <v>200</v>
      </c>
      <c r="F178" s="3" t="s">
        <v>433</v>
      </c>
      <c r="G178" s="3" t="s">
        <v>536</v>
      </c>
      <c r="H178" s="3" t="s">
        <v>169</v>
      </c>
      <c r="I178" s="10">
        <v>4.3</v>
      </c>
    </row>
    <row r="179" spans="1:9" x14ac:dyDescent="0.25">
      <c r="A179" s="9">
        <v>335</v>
      </c>
      <c r="B179" s="3" t="s">
        <v>537</v>
      </c>
      <c r="C179" s="3"/>
      <c r="D179" s="3" t="s">
        <v>59</v>
      </c>
      <c r="E179" s="3" t="s">
        <v>34</v>
      </c>
      <c r="F179" s="3" t="s">
        <v>538</v>
      </c>
      <c r="G179" s="3" t="s">
        <v>539</v>
      </c>
      <c r="H179" s="3" t="s">
        <v>101</v>
      </c>
      <c r="I179" s="10">
        <v>1.3</v>
      </c>
    </row>
    <row r="180" spans="1:9" x14ac:dyDescent="0.25">
      <c r="A180" s="9">
        <v>54</v>
      </c>
      <c r="B180" s="3" t="s">
        <v>540</v>
      </c>
      <c r="C180" s="3">
        <v>21</v>
      </c>
      <c r="D180" s="3" t="s">
        <v>48</v>
      </c>
      <c r="E180" s="3" t="s">
        <v>60</v>
      </c>
      <c r="F180" s="3" t="s">
        <v>541</v>
      </c>
      <c r="G180" s="3" t="s">
        <v>542</v>
      </c>
      <c r="H180" s="3" t="s">
        <v>26</v>
      </c>
      <c r="I180" s="10">
        <v>1.8</v>
      </c>
    </row>
    <row r="181" spans="1:9" x14ac:dyDescent="0.25">
      <c r="A181" s="9">
        <v>172</v>
      </c>
      <c r="B181" s="3" t="s">
        <v>220</v>
      </c>
      <c r="C181" s="3">
        <v>41</v>
      </c>
      <c r="D181" s="3" t="s">
        <v>22</v>
      </c>
      <c r="E181" s="3" t="s">
        <v>106</v>
      </c>
      <c r="F181" s="3" t="s">
        <v>543</v>
      </c>
      <c r="G181" s="3" t="s">
        <v>544</v>
      </c>
      <c r="H181" s="3" t="s">
        <v>333</v>
      </c>
      <c r="I181" s="10">
        <v>3.9</v>
      </c>
    </row>
    <row r="182" spans="1:9" x14ac:dyDescent="0.25">
      <c r="A182" s="9">
        <v>385</v>
      </c>
      <c r="B182" s="3" t="s">
        <v>47</v>
      </c>
      <c r="C182" s="3">
        <v>30</v>
      </c>
      <c r="D182" s="3" t="s">
        <v>10</v>
      </c>
      <c r="E182" s="3" t="s">
        <v>200</v>
      </c>
      <c r="F182" s="3" t="s">
        <v>545</v>
      </c>
      <c r="G182" s="3" t="s">
        <v>546</v>
      </c>
      <c r="H182" s="3" t="s">
        <v>26</v>
      </c>
      <c r="I182" s="10">
        <v>4.7</v>
      </c>
    </row>
    <row r="183" spans="1:9" x14ac:dyDescent="0.25">
      <c r="A183" s="9">
        <v>140</v>
      </c>
      <c r="B183" s="3" t="s">
        <v>547</v>
      </c>
      <c r="C183" s="3">
        <v>46</v>
      </c>
      <c r="D183" s="3" t="s">
        <v>59</v>
      </c>
      <c r="E183" s="3" t="s">
        <v>200</v>
      </c>
      <c r="F183" s="3" t="s">
        <v>548</v>
      </c>
      <c r="G183" s="3" t="s">
        <v>549</v>
      </c>
      <c r="H183" s="3" t="s">
        <v>268</v>
      </c>
      <c r="I183" s="10">
        <v>2.1</v>
      </c>
    </row>
    <row r="184" spans="1:9" x14ac:dyDescent="0.25">
      <c r="A184" s="9">
        <v>274</v>
      </c>
      <c r="B184" s="3" t="s">
        <v>277</v>
      </c>
      <c r="C184" s="3">
        <v>58</v>
      </c>
      <c r="D184" s="3" t="s">
        <v>39</v>
      </c>
      <c r="E184" s="3" t="s">
        <v>23</v>
      </c>
      <c r="F184" s="3" t="s">
        <v>550</v>
      </c>
      <c r="G184" s="3" t="s">
        <v>551</v>
      </c>
      <c r="H184" s="3" t="s">
        <v>63</v>
      </c>
      <c r="I184" s="10">
        <v>5</v>
      </c>
    </row>
    <row r="185" spans="1:9" x14ac:dyDescent="0.25">
      <c r="A185" s="9">
        <v>285</v>
      </c>
      <c r="B185" s="3" t="s">
        <v>337</v>
      </c>
      <c r="C185" s="3">
        <v>34</v>
      </c>
      <c r="D185" s="3" t="s">
        <v>54</v>
      </c>
      <c r="E185" s="3" t="s">
        <v>351</v>
      </c>
      <c r="F185" s="3" t="s">
        <v>552</v>
      </c>
      <c r="G185" s="3" t="s">
        <v>553</v>
      </c>
      <c r="H185" s="3" t="s">
        <v>356</v>
      </c>
      <c r="I185" s="10">
        <v>2.9</v>
      </c>
    </row>
    <row r="186" spans="1:9" x14ac:dyDescent="0.25">
      <c r="A186" s="9">
        <v>67</v>
      </c>
      <c r="B186" s="3" t="s">
        <v>528</v>
      </c>
      <c r="C186" s="3">
        <v>32</v>
      </c>
      <c r="D186" s="3" t="s">
        <v>59</v>
      </c>
      <c r="E186" s="3" t="s">
        <v>81</v>
      </c>
      <c r="F186" s="3" t="s">
        <v>554</v>
      </c>
      <c r="G186" s="3" t="s">
        <v>530</v>
      </c>
      <c r="H186" s="3" t="s">
        <v>115</v>
      </c>
      <c r="I186" s="10">
        <v>1.7</v>
      </c>
    </row>
    <row r="187" spans="1:9" x14ac:dyDescent="0.25">
      <c r="A187" s="9">
        <v>439</v>
      </c>
      <c r="B187" s="3" t="s">
        <v>555</v>
      </c>
      <c r="C187" s="3">
        <v>36</v>
      </c>
      <c r="D187" s="3" t="s">
        <v>28</v>
      </c>
      <c r="E187" s="3" t="s">
        <v>11</v>
      </c>
      <c r="F187" s="3" t="s">
        <v>556</v>
      </c>
      <c r="G187" s="3" t="s">
        <v>557</v>
      </c>
      <c r="H187" s="3" t="s">
        <v>268</v>
      </c>
      <c r="I187" s="10">
        <v>1.7</v>
      </c>
    </row>
    <row r="188" spans="1:9" x14ac:dyDescent="0.25">
      <c r="A188" s="9">
        <v>32</v>
      </c>
      <c r="B188" s="3" t="s">
        <v>310</v>
      </c>
      <c r="C188" s="3">
        <v>20</v>
      </c>
      <c r="D188" s="3" t="s">
        <v>39</v>
      </c>
      <c r="E188" s="3" t="s">
        <v>144</v>
      </c>
      <c r="F188" s="3" t="s">
        <v>311</v>
      </c>
      <c r="G188" s="3" t="s">
        <v>312</v>
      </c>
      <c r="H188" s="3" t="s">
        <v>67</v>
      </c>
      <c r="I188" s="10">
        <v>1.6</v>
      </c>
    </row>
    <row r="189" spans="1:9" x14ac:dyDescent="0.25">
      <c r="A189" s="9">
        <v>295</v>
      </c>
      <c r="B189" s="3" t="s">
        <v>27</v>
      </c>
      <c r="C189" s="3">
        <v>44</v>
      </c>
      <c r="D189" s="3" t="s">
        <v>10</v>
      </c>
      <c r="E189" s="3" t="s">
        <v>23</v>
      </c>
      <c r="F189" s="3" t="s">
        <v>558</v>
      </c>
      <c r="G189" s="3" t="s">
        <v>559</v>
      </c>
      <c r="H189" s="3" t="s">
        <v>333</v>
      </c>
      <c r="I189" s="10">
        <v>1.7</v>
      </c>
    </row>
    <row r="190" spans="1:9" x14ac:dyDescent="0.25">
      <c r="A190" s="9">
        <v>233</v>
      </c>
      <c r="B190" s="3" t="s">
        <v>560</v>
      </c>
      <c r="C190" s="3">
        <v>42</v>
      </c>
      <c r="D190" s="3" t="s">
        <v>48</v>
      </c>
      <c r="E190" s="3" t="s">
        <v>60</v>
      </c>
      <c r="F190" s="3" t="s">
        <v>561</v>
      </c>
      <c r="G190" s="3" t="s">
        <v>562</v>
      </c>
      <c r="H190" s="3" t="s">
        <v>219</v>
      </c>
      <c r="I190" s="10">
        <v>1.5</v>
      </c>
    </row>
    <row r="191" spans="1:9" x14ac:dyDescent="0.25">
      <c r="A191" s="9">
        <v>100</v>
      </c>
      <c r="B191" s="3" t="s">
        <v>563</v>
      </c>
      <c r="C191" s="3">
        <v>24</v>
      </c>
      <c r="D191" s="3" t="s">
        <v>48</v>
      </c>
      <c r="E191" s="3" t="s">
        <v>255</v>
      </c>
      <c r="F191" s="3" t="s">
        <v>564</v>
      </c>
      <c r="G191" s="3" t="s">
        <v>565</v>
      </c>
      <c r="H191" s="3" t="s">
        <v>219</v>
      </c>
      <c r="I191" s="10">
        <v>1.8</v>
      </c>
    </row>
    <row r="192" spans="1:9" x14ac:dyDescent="0.25">
      <c r="A192" s="9">
        <v>284</v>
      </c>
      <c r="B192" s="3" t="s">
        <v>185</v>
      </c>
      <c r="C192" s="3">
        <v>20</v>
      </c>
      <c r="D192" s="3" t="s">
        <v>39</v>
      </c>
      <c r="E192" s="3" t="s">
        <v>55</v>
      </c>
      <c r="F192" s="3" t="s">
        <v>566</v>
      </c>
      <c r="G192" s="3" t="s">
        <v>567</v>
      </c>
      <c r="H192" s="3" t="s">
        <v>52</v>
      </c>
      <c r="I192" s="10">
        <v>4.8</v>
      </c>
    </row>
    <row r="193" spans="1:9" x14ac:dyDescent="0.25">
      <c r="A193" s="9">
        <v>149</v>
      </c>
      <c r="B193" s="3" t="s">
        <v>233</v>
      </c>
      <c r="C193" s="3">
        <v>23</v>
      </c>
      <c r="D193" s="3" t="s">
        <v>48</v>
      </c>
      <c r="E193" s="3" t="s">
        <v>29</v>
      </c>
      <c r="F193" s="3" t="s">
        <v>568</v>
      </c>
      <c r="G193" s="3" t="s">
        <v>569</v>
      </c>
      <c r="H193" s="3" t="s">
        <v>333</v>
      </c>
      <c r="I193" s="10">
        <v>3.4</v>
      </c>
    </row>
    <row r="194" spans="1:9" x14ac:dyDescent="0.25">
      <c r="A194" s="9">
        <v>16</v>
      </c>
      <c r="B194" s="3" t="s">
        <v>570</v>
      </c>
      <c r="C194" s="3">
        <v>39</v>
      </c>
      <c r="D194" s="3" t="s">
        <v>59</v>
      </c>
      <c r="E194" s="3"/>
      <c r="F194" s="3" t="s">
        <v>571</v>
      </c>
      <c r="G194" s="3" t="s">
        <v>572</v>
      </c>
      <c r="H194" s="3" t="s">
        <v>268</v>
      </c>
      <c r="I194" s="10">
        <v>3.4</v>
      </c>
    </row>
    <row r="195" spans="1:9" x14ac:dyDescent="0.25">
      <c r="A195" s="9">
        <v>164</v>
      </c>
      <c r="B195" s="3" t="s">
        <v>573</v>
      </c>
      <c r="C195" s="3">
        <v>56</v>
      </c>
      <c r="D195" s="3" t="s">
        <v>10</v>
      </c>
      <c r="E195" s="3" t="s">
        <v>144</v>
      </c>
      <c r="F195" s="3" t="s">
        <v>574</v>
      </c>
      <c r="G195" s="3" t="s">
        <v>575</v>
      </c>
      <c r="H195" s="3" t="s">
        <v>79</v>
      </c>
      <c r="I195" s="10">
        <v>2.2000000000000002</v>
      </c>
    </row>
    <row r="196" spans="1:9" x14ac:dyDescent="0.25">
      <c r="A196" s="9">
        <v>290</v>
      </c>
      <c r="B196" s="3" t="s">
        <v>153</v>
      </c>
      <c r="C196" s="3">
        <v>47</v>
      </c>
      <c r="D196" s="3" t="s">
        <v>10</v>
      </c>
      <c r="E196" s="3" t="s">
        <v>106</v>
      </c>
      <c r="F196" s="3" t="s">
        <v>576</v>
      </c>
      <c r="G196" s="3" t="s">
        <v>577</v>
      </c>
      <c r="H196" s="3" t="s">
        <v>333</v>
      </c>
      <c r="I196" s="10">
        <v>4.8</v>
      </c>
    </row>
    <row r="197" spans="1:9" x14ac:dyDescent="0.25">
      <c r="A197" s="9">
        <v>47</v>
      </c>
      <c r="B197" s="3" t="s">
        <v>578</v>
      </c>
      <c r="C197" s="3">
        <v>24</v>
      </c>
      <c r="D197" s="3" t="s">
        <v>59</v>
      </c>
      <c r="E197" s="3" t="s">
        <v>144</v>
      </c>
      <c r="F197" s="3" t="s">
        <v>579</v>
      </c>
      <c r="G197" s="3" t="s">
        <v>580</v>
      </c>
      <c r="H197" s="3" t="s">
        <v>37</v>
      </c>
      <c r="I197" s="10">
        <v>5</v>
      </c>
    </row>
    <row r="198" spans="1:9" x14ac:dyDescent="0.25">
      <c r="A198" s="9">
        <v>87</v>
      </c>
      <c r="B198" s="3" t="s">
        <v>116</v>
      </c>
      <c r="C198" s="3">
        <v>25</v>
      </c>
      <c r="D198" s="3" t="s">
        <v>39</v>
      </c>
      <c r="E198" s="3" t="s">
        <v>351</v>
      </c>
      <c r="F198" s="3" t="s">
        <v>581</v>
      </c>
      <c r="G198" s="3" t="s">
        <v>582</v>
      </c>
      <c r="H198" s="3" t="s">
        <v>242</v>
      </c>
      <c r="I198" s="10">
        <v>2</v>
      </c>
    </row>
    <row r="199" spans="1:9" x14ac:dyDescent="0.25">
      <c r="A199" s="9">
        <v>38</v>
      </c>
      <c r="B199" s="3" t="s">
        <v>91</v>
      </c>
      <c r="C199" s="3">
        <v>35</v>
      </c>
      <c r="D199" s="3" t="s">
        <v>48</v>
      </c>
      <c r="E199" s="3" t="s">
        <v>386</v>
      </c>
      <c r="F199" s="3" t="s">
        <v>583</v>
      </c>
      <c r="G199" s="3" t="s">
        <v>584</v>
      </c>
      <c r="H199" s="3" t="s">
        <v>142</v>
      </c>
      <c r="I199" s="10">
        <v>3.3</v>
      </c>
    </row>
    <row r="200" spans="1:9" x14ac:dyDescent="0.25">
      <c r="A200" s="9">
        <v>423</v>
      </c>
      <c r="B200" s="3" t="s">
        <v>173</v>
      </c>
      <c r="C200" s="3">
        <v>33</v>
      </c>
      <c r="D200" s="3" t="s">
        <v>22</v>
      </c>
      <c r="E200" s="3" t="s">
        <v>11</v>
      </c>
      <c r="F200" s="3" t="s">
        <v>585</v>
      </c>
      <c r="G200" s="3" t="s">
        <v>586</v>
      </c>
      <c r="H200" s="3" t="s">
        <v>242</v>
      </c>
      <c r="I200" s="10">
        <v>4.8</v>
      </c>
    </row>
    <row r="201" spans="1:9" x14ac:dyDescent="0.25">
      <c r="A201" s="9">
        <v>371</v>
      </c>
      <c r="B201" s="3" t="s">
        <v>466</v>
      </c>
      <c r="C201" s="3">
        <v>23</v>
      </c>
      <c r="D201" s="3" t="s">
        <v>59</v>
      </c>
      <c r="E201" s="3" t="s">
        <v>17</v>
      </c>
      <c r="F201" s="3" t="s">
        <v>587</v>
      </c>
      <c r="G201" s="3" t="s">
        <v>588</v>
      </c>
      <c r="H201" s="3" t="s">
        <v>20</v>
      </c>
      <c r="I201" s="10">
        <v>4.9000000000000004</v>
      </c>
    </row>
    <row r="202" spans="1:9" x14ac:dyDescent="0.25">
      <c r="A202" s="9">
        <v>425</v>
      </c>
      <c r="B202" s="3" t="s">
        <v>589</v>
      </c>
      <c r="C202" s="3">
        <v>43</v>
      </c>
      <c r="D202" s="3" t="s">
        <v>39</v>
      </c>
      <c r="E202" s="3" t="s">
        <v>72</v>
      </c>
      <c r="F202" s="3" t="s">
        <v>590</v>
      </c>
      <c r="G202" s="3" t="s">
        <v>591</v>
      </c>
      <c r="H202" s="3" t="s">
        <v>333</v>
      </c>
      <c r="I202" s="10">
        <v>3.6</v>
      </c>
    </row>
    <row r="203" spans="1:9" x14ac:dyDescent="0.25">
      <c r="A203" s="9">
        <v>446</v>
      </c>
      <c r="B203" s="3" t="s">
        <v>98</v>
      </c>
      <c r="C203" s="3">
        <v>33</v>
      </c>
      <c r="D203" s="3" t="s">
        <v>39</v>
      </c>
      <c r="E203" s="3" t="s">
        <v>40</v>
      </c>
      <c r="F203" s="3" t="s">
        <v>592</v>
      </c>
      <c r="G203" s="3" t="s">
        <v>593</v>
      </c>
      <c r="H203" s="3" t="s">
        <v>112</v>
      </c>
      <c r="I203" s="10">
        <v>1.5</v>
      </c>
    </row>
    <row r="204" spans="1:9" x14ac:dyDescent="0.25">
      <c r="A204" s="9">
        <v>294</v>
      </c>
      <c r="B204" s="3" t="s">
        <v>594</v>
      </c>
      <c r="C204" s="3">
        <v>44</v>
      </c>
      <c r="D204" s="3" t="s">
        <v>10</v>
      </c>
      <c r="E204" s="3" t="s">
        <v>255</v>
      </c>
      <c r="F204" s="3" t="s">
        <v>595</v>
      </c>
      <c r="G204" s="3" t="s">
        <v>596</v>
      </c>
      <c r="H204" s="3" t="s">
        <v>136</v>
      </c>
      <c r="I204" s="10">
        <v>1.9</v>
      </c>
    </row>
    <row r="205" spans="1:9" x14ac:dyDescent="0.25">
      <c r="A205" s="9">
        <v>173</v>
      </c>
      <c r="B205" s="3" t="s">
        <v>597</v>
      </c>
      <c r="C205" s="3">
        <v>32</v>
      </c>
      <c r="D205" s="3" t="s">
        <v>22</v>
      </c>
      <c r="E205" s="3" t="s">
        <v>204</v>
      </c>
      <c r="F205" s="3" t="s">
        <v>598</v>
      </c>
      <c r="G205" s="3" t="s">
        <v>599</v>
      </c>
      <c r="H205" s="3" t="s">
        <v>268</v>
      </c>
      <c r="I205" s="10">
        <v>1.9</v>
      </c>
    </row>
    <row r="206" spans="1:9" x14ac:dyDescent="0.25">
      <c r="A206" s="9">
        <v>74</v>
      </c>
      <c r="B206" s="3" t="s">
        <v>98</v>
      </c>
      <c r="C206" s="3">
        <v>35</v>
      </c>
      <c r="D206" s="3" t="s">
        <v>10</v>
      </c>
      <c r="E206" s="3" t="s">
        <v>11</v>
      </c>
      <c r="F206" s="3" t="s">
        <v>600</v>
      </c>
      <c r="G206" s="3" t="s">
        <v>601</v>
      </c>
      <c r="H206" s="3" t="s">
        <v>75</v>
      </c>
      <c r="I206" s="10">
        <v>1.1000000000000001</v>
      </c>
    </row>
    <row r="207" spans="1:9" x14ac:dyDescent="0.25">
      <c r="A207" s="9">
        <v>281</v>
      </c>
      <c r="B207" s="3" t="s">
        <v>295</v>
      </c>
      <c r="C207" s="3">
        <v>37</v>
      </c>
      <c r="D207" s="3" t="s">
        <v>28</v>
      </c>
      <c r="E207" s="3" t="s">
        <v>23</v>
      </c>
      <c r="F207" s="3" t="s">
        <v>602</v>
      </c>
      <c r="G207" s="3" t="s">
        <v>603</v>
      </c>
      <c r="H207" s="3" t="s">
        <v>75</v>
      </c>
      <c r="I207" s="10">
        <v>1.4</v>
      </c>
    </row>
    <row r="208" spans="1:9" x14ac:dyDescent="0.25">
      <c r="A208" s="9">
        <v>105</v>
      </c>
      <c r="B208" s="3" t="s">
        <v>604</v>
      </c>
      <c r="C208" s="3">
        <v>50</v>
      </c>
      <c r="D208" s="3" t="s">
        <v>10</v>
      </c>
      <c r="E208" s="3" t="s">
        <v>11</v>
      </c>
      <c r="F208" s="3" t="s">
        <v>605</v>
      </c>
      <c r="G208" s="3" t="s">
        <v>606</v>
      </c>
      <c r="H208" s="3" t="s">
        <v>67</v>
      </c>
      <c r="I208" s="10">
        <v>4.5999999999999996</v>
      </c>
    </row>
    <row r="209" spans="1:9" x14ac:dyDescent="0.25">
      <c r="A209" s="9">
        <v>358</v>
      </c>
      <c r="B209" s="3" t="s">
        <v>185</v>
      </c>
      <c r="C209" s="3">
        <v>29</v>
      </c>
      <c r="D209" s="3" t="s">
        <v>28</v>
      </c>
      <c r="E209" s="3" t="s">
        <v>351</v>
      </c>
      <c r="F209" s="3" t="s">
        <v>607</v>
      </c>
      <c r="G209" s="3" t="s">
        <v>608</v>
      </c>
      <c r="H209" s="3" t="s">
        <v>333</v>
      </c>
      <c r="I209" s="10">
        <v>4.5</v>
      </c>
    </row>
    <row r="210" spans="1:9" x14ac:dyDescent="0.25">
      <c r="A210" s="9">
        <v>254</v>
      </c>
      <c r="B210" s="3" t="s">
        <v>157</v>
      </c>
      <c r="C210" s="3">
        <v>37</v>
      </c>
      <c r="D210" s="3" t="s">
        <v>39</v>
      </c>
      <c r="E210" s="3" t="s">
        <v>95</v>
      </c>
      <c r="F210" s="3" t="s">
        <v>609</v>
      </c>
      <c r="G210" s="3" t="s">
        <v>610</v>
      </c>
      <c r="H210" s="3" t="s">
        <v>268</v>
      </c>
      <c r="I210" s="10">
        <v>5</v>
      </c>
    </row>
    <row r="211" spans="1:9" x14ac:dyDescent="0.25">
      <c r="A211" s="9">
        <v>17</v>
      </c>
      <c r="B211" s="3" t="s">
        <v>611</v>
      </c>
      <c r="C211" s="3">
        <v>19</v>
      </c>
      <c r="D211" s="3" t="s">
        <v>39</v>
      </c>
      <c r="E211" s="3" t="s">
        <v>386</v>
      </c>
      <c r="F211" s="3" t="s">
        <v>612</v>
      </c>
      <c r="G211" s="3" t="s">
        <v>613</v>
      </c>
      <c r="H211" s="3" t="s">
        <v>20</v>
      </c>
      <c r="I211" s="10">
        <v>2.6</v>
      </c>
    </row>
    <row r="212" spans="1:9" x14ac:dyDescent="0.25">
      <c r="A212" s="9">
        <v>447</v>
      </c>
      <c r="B212" s="3" t="s">
        <v>185</v>
      </c>
      <c r="C212" s="3">
        <v>19</v>
      </c>
      <c r="D212" s="3" t="s">
        <v>39</v>
      </c>
      <c r="E212" s="3" t="s">
        <v>29</v>
      </c>
      <c r="F212" s="3" t="s">
        <v>614</v>
      </c>
      <c r="G212" s="3" t="s">
        <v>615</v>
      </c>
      <c r="H212" s="3" t="s">
        <v>112</v>
      </c>
      <c r="I212" s="10">
        <v>1.1000000000000001</v>
      </c>
    </row>
    <row r="213" spans="1:9" x14ac:dyDescent="0.25">
      <c r="A213" s="9">
        <v>92</v>
      </c>
      <c r="B213" s="3" t="s">
        <v>102</v>
      </c>
      <c r="C213" s="3"/>
      <c r="D213" s="3" t="s">
        <v>22</v>
      </c>
      <c r="E213" s="3" t="s">
        <v>11</v>
      </c>
      <c r="F213" s="3" t="s">
        <v>616</v>
      </c>
      <c r="G213" s="3" t="s">
        <v>617</v>
      </c>
      <c r="H213" s="3" t="s">
        <v>79</v>
      </c>
      <c r="I213" s="10">
        <v>4.3</v>
      </c>
    </row>
    <row r="214" spans="1:9" x14ac:dyDescent="0.25">
      <c r="A214" s="9">
        <v>89</v>
      </c>
      <c r="B214" s="3" t="s">
        <v>618</v>
      </c>
      <c r="C214" s="3">
        <v>28</v>
      </c>
      <c r="D214" s="3" t="s">
        <v>59</v>
      </c>
      <c r="E214" s="3" t="s">
        <v>23</v>
      </c>
      <c r="F214" s="3" t="s">
        <v>619</v>
      </c>
      <c r="G214" s="3" t="s">
        <v>620</v>
      </c>
      <c r="H214" s="3" t="s">
        <v>52</v>
      </c>
      <c r="I214" s="10">
        <v>2</v>
      </c>
    </row>
    <row r="215" spans="1:9" x14ac:dyDescent="0.25">
      <c r="A215" s="9">
        <v>387</v>
      </c>
      <c r="B215" s="3" t="s">
        <v>170</v>
      </c>
      <c r="C215" s="3">
        <v>47</v>
      </c>
      <c r="D215" s="3" t="s">
        <v>39</v>
      </c>
      <c r="E215" s="3" t="s">
        <v>124</v>
      </c>
      <c r="F215" s="3" t="s">
        <v>621</v>
      </c>
      <c r="G215" s="3" t="s">
        <v>622</v>
      </c>
      <c r="H215" s="3" t="s">
        <v>333</v>
      </c>
      <c r="I215" s="10">
        <v>1.3</v>
      </c>
    </row>
    <row r="216" spans="1:9" x14ac:dyDescent="0.25">
      <c r="A216" s="9">
        <v>141</v>
      </c>
      <c r="B216" s="3" t="s">
        <v>623</v>
      </c>
      <c r="C216" s="3">
        <v>53</v>
      </c>
      <c r="D216" s="3" t="s">
        <v>16</v>
      </c>
      <c r="E216" s="3" t="s">
        <v>72</v>
      </c>
      <c r="F216" s="3" t="s">
        <v>624</v>
      </c>
      <c r="G216" s="3" t="s">
        <v>625</v>
      </c>
      <c r="H216" s="3" t="s">
        <v>26</v>
      </c>
      <c r="I216" s="10">
        <v>3.2</v>
      </c>
    </row>
    <row r="217" spans="1:9" x14ac:dyDescent="0.25">
      <c r="A217" s="9">
        <v>195</v>
      </c>
      <c r="B217" s="3" t="s">
        <v>310</v>
      </c>
      <c r="C217" s="3">
        <v>49</v>
      </c>
      <c r="D217" s="3" t="s">
        <v>59</v>
      </c>
      <c r="E217" s="3" t="s">
        <v>200</v>
      </c>
      <c r="F217" s="3" t="s">
        <v>626</v>
      </c>
      <c r="G217" s="3" t="s">
        <v>627</v>
      </c>
      <c r="H217" s="3" t="s">
        <v>67</v>
      </c>
      <c r="I217" s="10">
        <v>1.4</v>
      </c>
    </row>
    <row r="218" spans="1:9" x14ac:dyDescent="0.25">
      <c r="A218" s="9">
        <v>206</v>
      </c>
      <c r="B218" s="3" t="s">
        <v>385</v>
      </c>
      <c r="C218" s="3">
        <v>39</v>
      </c>
      <c r="D218" s="3" t="s">
        <v>39</v>
      </c>
      <c r="E218" s="3" t="s">
        <v>40</v>
      </c>
      <c r="F218" s="3" t="s">
        <v>628</v>
      </c>
      <c r="G218" s="3" t="s">
        <v>629</v>
      </c>
      <c r="H218" s="3" t="s">
        <v>67</v>
      </c>
      <c r="I218" s="10">
        <v>3.8</v>
      </c>
    </row>
    <row r="219" spans="1:9" x14ac:dyDescent="0.25">
      <c r="A219" s="9">
        <v>103</v>
      </c>
      <c r="B219" s="3" t="s">
        <v>43</v>
      </c>
      <c r="C219" s="3">
        <v>29</v>
      </c>
      <c r="D219" s="3" t="s">
        <v>22</v>
      </c>
      <c r="E219" s="3" t="s">
        <v>124</v>
      </c>
      <c r="F219" s="3" t="s">
        <v>630</v>
      </c>
      <c r="G219" s="3" t="s">
        <v>631</v>
      </c>
      <c r="H219" s="3" t="s">
        <v>52</v>
      </c>
      <c r="I219" s="10">
        <v>3.3</v>
      </c>
    </row>
    <row r="220" spans="1:9" x14ac:dyDescent="0.25">
      <c r="A220" s="9">
        <v>265</v>
      </c>
      <c r="B220" s="3" t="s">
        <v>366</v>
      </c>
      <c r="C220" s="3">
        <v>42</v>
      </c>
      <c r="D220" s="3" t="s">
        <v>22</v>
      </c>
      <c r="E220" s="3" t="s">
        <v>351</v>
      </c>
      <c r="F220" s="3" t="s">
        <v>632</v>
      </c>
      <c r="G220" s="3" t="s">
        <v>633</v>
      </c>
      <c r="H220" s="3" t="s">
        <v>112</v>
      </c>
      <c r="I220" s="10">
        <v>4</v>
      </c>
    </row>
    <row r="221" spans="1:9" x14ac:dyDescent="0.25">
      <c r="A221" s="9">
        <v>175</v>
      </c>
      <c r="B221" s="3" t="s">
        <v>354</v>
      </c>
      <c r="C221" s="3">
        <v>49</v>
      </c>
      <c r="D221" s="3" t="s">
        <v>28</v>
      </c>
      <c r="E221" s="3" t="s">
        <v>34</v>
      </c>
      <c r="F221" s="3" t="s">
        <v>634</v>
      </c>
      <c r="G221" s="3" t="s">
        <v>635</v>
      </c>
      <c r="H221" s="3" t="s">
        <v>242</v>
      </c>
      <c r="I221" s="10">
        <v>2</v>
      </c>
    </row>
    <row r="222" spans="1:9" x14ac:dyDescent="0.25">
      <c r="A222" s="9">
        <v>171</v>
      </c>
      <c r="B222" s="3" t="s">
        <v>636</v>
      </c>
      <c r="C222" s="3"/>
      <c r="D222" s="3" t="s">
        <v>59</v>
      </c>
      <c r="E222" s="3" t="s">
        <v>72</v>
      </c>
      <c r="F222" s="3" t="s">
        <v>637</v>
      </c>
      <c r="G222" s="3" t="s">
        <v>638</v>
      </c>
      <c r="H222" s="3" t="s">
        <v>156</v>
      </c>
      <c r="I222" s="10"/>
    </row>
    <row r="223" spans="1:9" x14ac:dyDescent="0.25">
      <c r="A223" s="9">
        <v>389</v>
      </c>
      <c r="B223" s="3" t="s">
        <v>324</v>
      </c>
      <c r="C223" s="3">
        <v>34</v>
      </c>
      <c r="D223" s="3" t="s">
        <v>10</v>
      </c>
      <c r="E223" s="3" t="s">
        <v>193</v>
      </c>
      <c r="F223" s="3" t="s">
        <v>639</v>
      </c>
      <c r="G223" s="3" t="s">
        <v>640</v>
      </c>
      <c r="H223" s="3" t="s">
        <v>20</v>
      </c>
      <c r="I223" s="10">
        <v>3.8</v>
      </c>
    </row>
    <row r="224" spans="1:9" x14ac:dyDescent="0.25">
      <c r="A224" s="9">
        <v>158</v>
      </c>
      <c r="B224" s="3" t="s">
        <v>98</v>
      </c>
      <c r="C224" s="3">
        <v>50</v>
      </c>
      <c r="D224" s="3" t="s">
        <v>39</v>
      </c>
      <c r="E224" s="3" t="s">
        <v>120</v>
      </c>
      <c r="F224" s="3" t="s">
        <v>641</v>
      </c>
      <c r="G224" s="3" t="s">
        <v>642</v>
      </c>
      <c r="H224" s="3" t="s">
        <v>242</v>
      </c>
      <c r="I224" s="10">
        <v>1.7</v>
      </c>
    </row>
    <row r="225" spans="1:9" x14ac:dyDescent="0.25">
      <c r="A225" s="9">
        <v>71</v>
      </c>
      <c r="B225" s="3" t="s">
        <v>9</v>
      </c>
      <c r="C225" s="3">
        <v>57</v>
      </c>
      <c r="D225" s="3" t="s">
        <v>48</v>
      </c>
      <c r="E225" s="3" t="s">
        <v>60</v>
      </c>
      <c r="F225" s="3" t="s">
        <v>412</v>
      </c>
      <c r="G225" s="3" t="s">
        <v>643</v>
      </c>
      <c r="H225" s="3" t="s">
        <v>112</v>
      </c>
      <c r="I225" s="10">
        <v>2.1</v>
      </c>
    </row>
    <row r="226" spans="1:9" x14ac:dyDescent="0.25">
      <c r="A226" s="9">
        <v>134</v>
      </c>
      <c r="B226" s="3" t="s">
        <v>644</v>
      </c>
      <c r="C226" s="3">
        <v>21</v>
      </c>
      <c r="D226" s="3" t="s">
        <v>39</v>
      </c>
      <c r="E226" s="3" t="s">
        <v>34</v>
      </c>
      <c r="F226" s="3" t="s">
        <v>645</v>
      </c>
      <c r="G226" s="3" t="s">
        <v>646</v>
      </c>
      <c r="H226" s="3" t="s">
        <v>101</v>
      </c>
      <c r="I226" s="10">
        <v>1.7</v>
      </c>
    </row>
    <row r="227" spans="1:9" x14ac:dyDescent="0.25">
      <c r="A227" s="9">
        <v>455</v>
      </c>
      <c r="B227" s="3" t="s">
        <v>113</v>
      </c>
      <c r="C227" s="3">
        <v>50</v>
      </c>
      <c r="D227" s="3" t="s">
        <v>54</v>
      </c>
      <c r="E227" s="3" t="s">
        <v>106</v>
      </c>
      <c r="F227" s="3" t="s">
        <v>647</v>
      </c>
      <c r="G227" s="3" t="s">
        <v>648</v>
      </c>
      <c r="H227" s="3" t="s">
        <v>219</v>
      </c>
      <c r="I227" s="10">
        <v>2.7</v>
      </c>
    </row>
    <row r="228" spans="1:9" x14ac:dyDescent="0.25">
      <c r="A228" s="9">
        <v>250</v>
      </c>
      <c r="B228" s="3" t="s">
        <v>432</v>
      </c>
      <c r="C228" s="3">
        <v>52</v>
      </c>
      <c r="D228" s="3" t="s">
        <v>28</v>
      </c>
      <c r="E228" s="3" t="s">
        <v>239</v>
      </c>
      <c r="F228" s="3" t="s">
        <v>649</v>
      </c>
      <c r="G228" s="3" t="s">
        <v>434</v>
      </c>
      <c r="H228" s="3" t="s">
        <v>101</v>
      </c>
      <c r="I228" s="10">
        <v>4.5</v>
      </c>
    </row>
    <row r="229" spans="1:9" x14ac:dyDescent="0.25">
      <c r="A229" s="9">
        <v>379</v>
      </c>
      <c r="B229" s="3" t="s">
        <v>9</v>
      </c>
      <c r="C229" s="3">
        <v>23</v>
      </c>
      <c r="D229" s="3" t="s">
        <v>39</v>
      </c>
      <c r="E229" s="3" t="s">
        <v>351</v>
      </c>
      <c r="F229" s="3" t="s">
        <v>650</v>
      </c>
      <c r="G229" s="3" t="s">
        <v>651</v>
      </c>
      <c r="H229" s="3" t="s">
        <v>268</v>
      </c>
      <c r="I229" s="10">
        <v>3.2</v>
      </c>
    </row>
    <row r="230" spans="1:9" x14ac:dyDescent="0.25">
      <c r="A230" s="9">
        <v>363</v>
      </c>
      <c r="B230" s="3" t="s">
        <v>116</v>
      </c>
      <c r="C230" s="3">
        <v>19</v>
      </c>
      <c r="D230" s="3" t="s">
        <v>54</v>
      </c>
      <c r="E230" s="3" t="s">
        <v>23</v>
      </c>
      <c r="F230" s="3" t="s">
        <v>652</v>
      </c>
      <c r="G230" s="3" t="s">
        <v>653</v>
      </c>
      <c r="H230" s="3" t="s">
        <v>333</v>
      </c>
      <c r="I230" s="10">
        <v>4</v>
      </c>
    </row>
    <row r="231" spans="1:9" x14ac:dyDescent="0.25">
      <c r="A231" s="9">
        <v>246</v>
      </c>
      <c r="B231" s="3" t="s">
        <v>182</v>
      </c>
      <c r="C231" s="3">
        <v>54</v>
      </c>
      <c r="D231" s="3" t="s">
        <v>10</v>
      </c>
      <c r="E231" s="3" t="s">
        <v>386</v>
      </c>
      <c r="F231" s="3" t="s">
        <v>654</v>
      </c>
      <c r="G231" s="3" t="s">
        <v>655</v>
      </c>
      <c r="H231" s="3" t="s">
        <v>20</v>
      </c>
      <c r="I231" s="10">
        <v>1.9</v>
      </c>
    </row>
    <row r="232" spans="1:9" x14ac:dyDescent="0.25">
      <c r="A232" s="9">
        <v>470</v>
      </c>
      <c r="B232" s="3" t="s">
        <v>656</v>
      </c>
      <c r="C232" s="3">
        <v>40</v>
      </c>
      <c r="D232" s="3" t="s">
        <v>28</v>
      </c>
      <c r="E232" s="3" t="s">
        <v>95</v>
      </c>
      <c r="F232" s="3" t="s">
        <v>657</v>
      </c>
      <c r="G232" s="3" t="s">
        <v>658</v>
      </c>
      <c r="H232" s="3" t="s">
        <v>115</v>
      </c>
      <c r="I232" s="10">
        <v>3.8</v>
      </c>
    </row>
    <row r="233" spans="1:9" x14ac:dyDescent="0.25">
      <c r="A233" s="9">
        <v>432</v>
      </c>
      <c r="B233" s="3" t="s">
        <v>659</v>
      </c>
      <c r="C233" s="3">
        <v>40</v>
      </c>
      <c r="D233" s="3" t="s">
        <v>59</v>
      </c>
      <c r="E233" s="3" t="s">
        <v>106</v>
      </c>
      <c r="F233" s="3" t="s">
        <v>660</v>
      </c>
      <c r="G233" s="3" t="s">
        <v>661</v>
      </c>
      <c r="H233" s="3" t="s">
        <v>219</v>
      </c>
      <c r="I233" s="10">
        <v>1.9</v>
      </c>
    </row>
    <row r="234" spans="1:9" x14ac:dyDescent="0.25">
      <c r="A234" s="9">
        <v>353</v>
      </c>
      <c r="B234" s="3" t="s">
        <v>192</v>
      </c>
      <c r="C234" s="3">
        <v>37</v>
      </c>
      <c r="D234" s="3" t="s">
        <v>54</v>
      </c>
      <c r="E234" s="3" t="s">
        <v>34</v>
      </c>
      <c r="F234" s="3" t="s">
        <v>662</v>
      </c>
      <c r="G234" s="3" t="s">
        <v>663</v>
      </c>
      <c r="H234" s="3" t="s">
        <v>169</v>
      </c>
      <c r="I234" s="10">
        <v>3.7</v>
      </c>
    </row>
    <row r="235" spans="1:9" x14ac:dyDescent="0.25">
      <c r="A235" s="9">
        <v>245</v>
      </c>
      <c r="B235" s="3" t="s">
        <v>80</v>
      </c>
      <c r="C235" s="3">
        <v>22</v>
      </c>
      <c r="D235" s="3" t="s">
        <v>59</v>
      </c>
      <c r="E235" s="3" t="s">
        <v>95</v>
      </c>
      <c r="F235" s="3" t="s">
        <v>335</v>
      </c>
      <c r="G235" s="3" t="s">
        <v>664</v>
      </c>
      <c r="H235" s="3" t="s">
        <v>242</v>
      </c>
      <c r="I235" s="10">
        <v>3.5</v>
      </c>
    </row>
    <row r="236" spans="1:9" x14ac:dyDescent="0.25">
      <c r="A236" s="9">
        <v>19</v>
      </c>
      <c r="B236" s="3" t="s">
        <v>216</v>
      </c>
      <c r="C236" s="3">
        <v>47</v>
      </c>
      <c r="D236" s="3" t="s">
        <v>39</v>
      </c>
      <c r="E236" s="3" t="s">
        <v>72</v>
      </c>
      <c r="F236" s="3" t="s">
        <v>665</v>
      </c>
      <c r="G236" s="3" t="s">
        <v>666</v>
      </c>
      <c r="H236" s="3" t="s">
        <v>46</v>
      </c>
      <c r="I236" s="10">
        <v>2.2999999999999998</v>
      </c>
    </row>
    <row r="237" spans="1:9" x14ac:dyDescent="0.25">
      <c r="A237" s="9">
        <v>178</v>
      </c>
      <c r="B237" s="3" t="s">
        <v>15</v>
      </c>
      <c r="C237" s="3">
        <v>29</v>
      </c>
      <c r="D237" s="3" t="s">
        <v>28</v>
      </c>
      <c r="E237" s="3" t="s">
        <v>34</v>
      </c>
      <c r="F237" s="3" t="s">
        <v>667</v>
      </c>
      <c r="G237" s="3" t="s">
        <v>668</v>
      </c>
      <c r="H237" s="3" t="s">
        <v>20</v>
      </c>
      <c r="I237" s="10">
        <v>3</v>
      </c>
    </row>
    <row r="238" spans="1:9" x14ac:dyDescent="0.25">
      <c r="A238" s="9">
        <v>410</v>
      </c>
      <c r="B238" s="3" t="s">
        <v>669</v>
      </c>
      <c r="C238" s="3">
        <v>20</v>
      </c>
      <c r="D238" s="3" t="s">
        <v>54</v>
      </c>
      <c r="E238" s="3" t="s">
        <v>204</v>
      </c>
      <c r="F238" s="3" t="s">
        <v>670</v>
      </c>
      <c r="G238" s="3" t="s">
        <v>671</v>
      </c>
      <c r="H238" s="3" t="s">
        <v>268</v>
      </c>
      <c r="I238" s="10">
        <v>2.7</v>
      </c>
    </row>
    <row r="239" spans="1:9" x14ac:dyDescent="0.25">
      <c r="A239" s="9">
        <v>21</v>
      </c>
      <c r="B239" s="3" t="s">
        <v>220</v>
      </c>
      <c r="C239" s="3">
        <v>19</v>
      </c>
      <c r="D239" s="3" t="s">
        <v>28</v>
      </c>
      <c r="E239" s="3" t="s">
        <v>124</v>
      </c>
      <c r="F239" s="3" t="s">
        <v>672</v>
      </c>
      <c r="G239" s="3" t="s">
        <v>673</v>
      </c>
      <c r="H239" s="3" t="s">
        <v>75</v>
      </c>
      <c r="I239" s="10">
        <v>1</v>
      </c>
    </row>
    <row r="240" spans="1:9" x14ac:dyDescent="0.25">
      <c r="A240" s="9">
        <v>56</v>
      </c>
      <c r="B240" s="3" t="s">
        <v>27</v>
      </c>
      <c r="C240" s="3">
        <v>23</v>
      </c>
      <c r="D240" s="3" t="s">
        <v>16</v>
      </c>
      <c r="E240" s="3" t="s">
        <v>40</v>
      </c>
      <c r="F240" s="3" t="s">
        <v>674</v>
      </c>
      <c r="G240" s="3" t="s">
        <v>675</v>
      </c>
      <c r="H240" s="3" t="s">
        <v>46</v>
      </c>
      <c r="I240" s="10">
        <v>1.1000000000000001</v>
      </c>
    </row>
    <row r="241" spans="1:9" x14ac:dyDescent="0.25">
      <c r="A241" s="9">
        <v>320</v>
      </c>
      <c r="B241" s="3" t="s">
        <v>43</v>
      </c>
      <c r="C241" s="3">
        <v>49</v>
      </c>
      <c r="D241" s="3" t="s">
        <v>28</v>
      </c>
      <c r="E241" s="3" t="s">
        <v>144</v>
      </c>
      <c r="F241" s="3" t="s">
        <v>676</v>
      </c>
      <c r="G241" s="3" t="s">
        <v>677</v>
      </c>
      <c r="H241" s="3" t="s">
        <v>37</v>
      </c>
      <c r="I241" s="10">
        <v>4.5999999999999996</v>
      </c>
    </row>
    <row r="242" spans="1:9" x14ac:dyDescent="0.25">
      <c r="A242" s="9">
        <v>462</v>
      </c>
      <c r="B242" s="3" t="s">
        <v>233</v>
      </c>
      <c r="C242" s="3">
        <v>57</v>
      </c>
      <c r="D242" s="3" t="s">
        <v>16</v>
      </c>
      <c r="E242" s="3" t="s">
        <v>29</v>
      </c>
      <c r="F242" s="3" t="s">
        <v>678</v>
      </c>
      <c r="G242" s="3" t="s">
        <v>679</v>
      </c>
      <c r="H242" s="3" t="s">
        <v>67</v>
      </c>
      <c r="I242" s="10">
        <v>2.2000000000000002</v>
      </c>
    </row>
    <row r="243" spans="1:9" x14ac:dyDescent="0.25">
      <c r="A243" s="9">
        <v>368</v>
      </c>
      <c r="B243" s="3" t="s">
        <v>43</v>
      </c>
      <c r="C243" s="3">
        <v>39</v>
      </c>
      <c r="D243" s="3" t="s">
        <v>59</v>
      </c>
      <c r="E243" s="3" t="s">
        <v>106</v>
      </c>
      <c r="F243" s="3" t="s">
        <v>680</v>
      </c>
      <c r="G243" s="3" t="s">
        <v>681</v>
      </c>
      <c r="H243" s="3" t="s">
        <v>26</v>
      </c>
      <c r="I243" s="10"/>
    </row>
    <row r="244" spans="1:9" x14ac:dyDescent="0.25">
      <c r="A244" s="9">
        <v>35</v>
      </c>
      <c r="B244" s="3" t="s">
        <v>659</v>
      </c>
      <c r="C244" s="3">
        <v>38</v>
      </c>
      <c r="D244" s="3" t="s">
        <v>39</v>
      </c>
      <c r="E244" s="3" t="s">
        <v>88</v>
      </c>
      <c r="F244" s="3" t="s">
        <v>682</v>
      </c>
      <c r="G244" s="3" t="s">
        <v>683</v>
      </c>
      <c r="H244" s="3" t="s">
        <v>101</v>
      </c>
      <c r="I244" s="10">
        <v>2.7</v>
      </c>
    </row>
    <row r="245" spans="1:9" x14ac:dyDescent="0.25">
      <c r="A245" s="9">
        <v>182</v>
      </c>
      <c r="B245" s="3" t="s">
        <v>277</v>
      </c>
      <c r="C245" s="3">
        <v>54</v>
      </c>
      <c r="D245" s="3" t="s">
        <v>22</v>
      </c>
      <c r="E245" s="3" t="s">
        <v>95</v>
      </c>
      <c r="F245" s="3" t="s">
        <v>684</v>
      </c>
      <c r="G245" s="3" t="s">
        <v>685</v>
      </c>
      <c r="H245" s="3" t="s">
        <v>242</v>
      </c>
      <c r="I245" s="10">
        <v>1.4</v>
      </c>
    </row>
    <row r="246" spans="1:9" x14ac:dyDescent="0.25">
      <c r="A246" s="9">
        <v>185</v>
      </c>
      <c r="B246" s="3" t="s">
        <v>292</v>
      </c>
      <c r="C246" s="3">
        <v>19</v>
      </c>
      <c r="D246" s="3" t="s">
        <v>48</v>
      </c>
      <c r="E246" s="3" t="s">
        <v>106</v>
      </c>
      <c r="F246" s="3" t="s">
        <v>686</v>
      </c>
      <c r="G246" s="3"/>
      <c r="H246" s="3" t="s">
        <v>101</v>
      </c>
      <c r="I246" s="10">
        <v>3</v>
      </c>
    </row>
    <row r="247" spans="1:9" x14ac:dyDescent="0.25">
      <c r="A247" s="9">
        <v>151</v>
      </c>
      <c r="B247" s="3" t="s">
        <v>366</v>
      </c>
      <c r="C247" s="3">
        <v>45</v>
      </c>
      <c r="D247" s="3" t="s">
        <v>16</v>
      </c>
      <c r="E247" s="3" t="s">
        <v>386</v>
      </c>
      <c r="F247" s="3" t="s">
        <v>687</v>
      </c>
      <c r="G247" s="3" t="s">
        <v>688</v>
      </c>
      <c r="H247" s="3" t="s">
        <v>101</v>
      </c>
      <c r="I247" s="10">
        <v>3.7</v>
      </c>
    </row>
    <row r="248" spans="1:9" x14ac:dyDescent="0.25">
      <c r="A248" s="9">
        <v>208</v>
      </c>
      <c r="B248" s="3" t="s">
        <v>286</v>
      </c>
      <c r="C248" s="3">
        <v>33</v>
      </c>
      <c r="D248" s="3" t="s">
        <v>10</v>
      </c>
      <c r="E248" s="3" t="s">
        <v>204</v>
      </c>
      <c r="F248" s="3" t="s">
        <v>689</v>
      </c>
      <c r="G248" s="3" t="s">
        <v>690</v>
      </c>
      <c r="H248" s="3" t="s">
        <v>75</v>
      </c>
      <c r="I248" s="10">
        <v>2</v>
      </c>
    </row>
    <row r="249" spans="1:9" x14ac:dyDescent="0.25">
      <c r="A249" s="9">
        <v>352</v>
      </c>
      <c r="B249" s="3" t="s">
        <v>426</v>
      </c>
      <c r="C249" s="3">
        <v>53</v>
      </c>
      <c r="D249" s="3" t="s">
        <v>28</v>
      </c>
      <c r="E249" s="3" t="s">
        <v>200</v>
      </c>
      <c r="F249" s="3" t="s">
        <v>691</v>
      </c>
      <c r="G249" s="3" t="s">
        <v>692</v>
      </c>
      <c r="H249" s="3" t="s">
        <v>333</v>
      </c>
      <c r="I249" s="10">
        <v>3.8</v>
      </c>
    </row>
    <row r="250" spans="1:9" x14ac:dyDescent="0.25">
      <c r="A250" s="9">
        <v>95</v>
      </c>
      <c r="B250" s="3" t="s">
        <v>27</v>
      </c>
      <c r="C250" s="3">
        <v>22</v>
      </c>
      <c r="D250" s="3" t="s">
        <v>39</v>
      </c>
      <c r="E250" s="3" t="s">
        <v>17</v>
      </c>
      <c r="F250" s="3" t="s">
        <v>693</v>
      </c>
      <c r="G250" s="3"/>
      <c r="H250" s="3" t="s">
        <v>37</v>
      </c>
      <c r="I250" s="10">
        <v>1.8</v>
      </c>
    </row>
    <row r="251" spans="1:9" x14ac:dyDescent="0.25">
      <c r="A251" s="9">
        <v>377</v>
      </c>
      <c r="B251" s="3" t="s">
        <v>102</v>
      </c>
      <c r="C251" s="3">
        <v>56</v>
      </c>
      <c r="D251" s="3" t="s">
        <v>59</v>
      </c>
      <c r="E251" s="3" t="s">
        <v>124</v>
      </c>
      <c r="F251" s="3" t="s">
        <v>694</v>
      </c>
      <c r="G251" s="3" t="s">
        <v>695</v>
      </c>
      <c r="H251" s="3" t="s">
        <v>169</v>
      </c>
      <c r="I251" s="10">
        <v>1.4</v>
      </c>
    </row>
    <row r="252" spans="1:9" x14ac:dyDescent="0.25">
      <c r="A252" s="9">
        <v>303</v>
      </c>
      <c r="B252" s="3" t="s">
        <v>196</v>
      </c>
      <c r="C252" s="3">
        <v>36</v>
      </c>
      <c r="D252" s="3" t="s">
        <v>16</v>
      </c>
      <c r="E252" s="3" t="s">
        <v>144</v>
      </c>
      <c r="F252" s="3" t="s">
        <v>696</v>
      </c>
      <c r="G252" s="3" t="s">
        <v>697</v>
      </c>
      <c r="H252" s="3" t="s">
        <v>67</v>
      </c>
      <c r="I252" s="10">
        <v>4.7</v>
      </c>
    </row>
    <row r="253" spans="1:9" x14ac:dyDescent="0.25">
      <c r="A253" s="9">
        <v>98</v>
      </c>
      <c r="B253" s="3" t="s">
        <v>521</v>
      </c>
      <c r="C253" s="3">
        <v>58</v>
      </c>
      <c r="D253" s="3" t="s">
        <v>39</v>
      </c>
      <c r="E253" s="3"/>
      <c r="F253" s="3" t="s">
        <v>698</v>
      </c>
      <c r="G253" s="3" t="s">
        <v>699</v>
      </c>
      <c r="H253" s="3" t="s">
        <v>75</v>
      </c>
      <c r="I253" s="10">
        <v>1.1000000000000001</v>
      </c>
    </row>
    <row r="254" spans="1:9" x14ac:dyDescent="0.25">
      <c r="A254" s="9">
        <v>236</v>
      </c>
      <c r="B254" s="3" t="s">
        <v>185</v>
      </c>
      <c r="C254" s="3">
        <v>47</v>
      </c>
      <c r="D254" s="3" t="s">
        <v>10</v>
      </c>
      <c r="E254" s="3" t="s">
        <v>11</v>
      </c>
      <c r="F254" s="3" t="s">
        <v>700</v>
      </c>
      <c r="G254" s="3" t="s">
        <v>701</v>
      </c>
      <c r="H254" s="3" t="s">
        <v>219</v>
      </c>
      <c r="I254" s="10">
        <v>2.4</v>
      </c>
    </row>
    <row r="255" spans="1:9" x14ac:dyDescent="0.25">
      <c r="A255" s="9">
        <v>405</v>
      </c>
      <c r="B255" s="3" t="s">
        <v>289</v>
      </c>
      <c r="C255" s="3">
        <v>33</v>
      </c>
      <c r="D255" s="3" t="s">
        <v>39</v>
      </c>
      <c r="E255" s="3" t="s">
        <v>88</v>
      </c>
      <c r="F255" s="3" t="s">
        <v>702</v>
      </c>
      <c r="G255" s="3" t="s">
        <v>703</v>
      </c>
      <c r="H255" s="3" t="s">
        <v>232</v>
      </c>
      <c r="I255" s="10">
        <v>4.0999999999999996</v>
      </c>
    </row>
    <row r="256" spans="1:9" x14ac:dyDescent="0.25">
      <c r="A256" s="9">
        <v>442</v>
      </c>
      <c r="B256" s="3" t="s">
        <v>360</v>
      </c>
      <c r="C256" s="3">
        <v>22</v>
      </c>
      <c r="D256" s="3" t="s">
        <v>59</v>
      </c>
      <c r="E256" s="3" t="s">
        <v>40</v>
      </c>
      <c r="F256" s="3" t="s">
        <v>704</v>
      </c>
      <c r="G256" s="3" t="s">
        <v>705</v>
      </c>
      <c r="H256" s="3" t="s">
        <v>115</v>
      </c>
      <c r="I256" s="10">
        <v>4.0999999999999996</v>
      </c>
    </row>
    <row r="257" spans="1:9" x14ac:dyDescent="0.25">
      <c r="A257" s="9">
        <v>155</v>
      </c>
      <c r="B257" s="3" t="s">
        <v>706</v>
      </c>
      <c r="C257" s="3">
        <v>45</v>
      </c>
      <c r="D257" s="3" t="s">
        <v>10</v>
      </c>
      <c r="E257" s="3" t="s">
        <v>81</v>
      </c>
      <c r="F257" s="3" t="s">
        <v>707</v>
      </c>
      <c r="G257" s="3" t="s">
        <v>708</v>
      </c>
      <c r="H257" s="3" t="s">
        <v>156</v>
      </c>
      <c r="I257" s="10">
        <v>2.5</v>
      </c>
    </row>
    <row r="258" spans="1:9" x14ac:dyDescent="0.25">
      <c r="A258" s="9">
        <v>123</v>
      </c>
      <c r="B258" s="3" t="s">
        <v>199</v>
      </c>
      <c r="C258" s="3">
        <v>56</v>
      </c>
      <c r="D258" s="3" t="s">
        <v>59</v>
      </c>
      <c r="E258" s="3" t="s">
        <v>17</v>
      </c>
      <c r="F258" s="3" t="s">
        <v>709</v>
      </c>
      <c r="G258" s="3" t="s">
        <v>710</v>
      </c>
      <c r="H258" s="3" t="s">
        <v>32</v>
      </c>
      <c r="I258" s="10">
        <v>4.2</v>
      </c>
    </row>
    <row r="259" spans="1:9" x14ac:dyDescent="0.25">
      <c r="A259" s="9">
        <v>339</v>
      </c>
      <c r="B259" s="3" t="s">
        <v>711</v>
      </c>
      <c r="C259" s="3">
        <v>34</v>
      </c>
      <c r="D259" s="3" t="s">
        <v>59</v>
      </c>
      <c r="E259" s="3" t="s">
        <v>29</v>
      </c>
      <c r="F259" s="3" t="s">
        <v>712</v>
      </c>
      <c r="G259" s="3" t="s">
        <v>713</v>
      </c>
      <c r="H259" s="3" t="s">
        <v>169</v>
      </c>
      <c r="I259" s="10">
        <v>3.4</v>
      </c>
    </row>
    <row r="260" spans="1:9" x14ac:dyDescent="0.25">
      <c r="A260" s="9">
        <v>79</v>
      </c>
      <c r="B260" s="3" t="s">
        <v>714</v>
      </c>
      <c r="C260" s="3">
        <v>46</v>
      </c>
      <c r="D260" s="3" t="s">
        <v>22</v>
      </c>
      <c r="E260" s="3" t="s">
        <v>49</v>
      </c>
      <c r="F260" s="3" t="s">
        <v>715</v>
      </c>
      <c r="G260" s="3" t="s">
        <v>716</v>
      </c>
      <c r="H260" s="3" t="s">
        <v>37</v>
      </c>
      <c r="I260" s="10">
        <v>1.9</v>
      </c>
    </row>
    <row r="261" spans="1:9" x14ac:dyDescent="0.25">
      <c r="A261" s="9">
        <v>62</v>
      </c>
      <c r="B261" s="3" t="s">
        <v>327</v>
      </c>
      <c r="C261" s="3">
        <v>51</v>
      </c>
      <c r="D261" s="3" t="s">
        <v>16</v>
      </c>
      <c r="E261" s="3" t="s">
        <v>11</v>
      </c>
      <c r="F261" s="3" t="s">
        <v>717</v>
      </c>
      <c r="G261" s="3" t="s">
        <v>718</v>
      </c>
      <c r="H261" s="3" t="s">
        <v>115</v>
      </c>
      <c r="I261" s="10">
        <v>3.1</v>
      </c>
    </row>
    <row r="262" spans="1:9" x14ac:dyDescent="0.25">
      <c r="A262" s="9">
        <v>476</v>
      </c>
      <c r="B262" s="3" t="s">
        <v>719</v>
      </c>
      <c r="C262" s="3">
        <v>27</v>
      </c>
      <c r="D262" s="3" t="s">
        <v>28</v>
      </c>
      <c r="E262" s="3" t="s">
        <v>124</v>
      </c>
      <c r="F262" s="3" t="s">
        <v>720</v>
      </c>
      <c r="G262" s="3" t="s">
        <v>721</v>
      </c>
      <c r="H262" s="3" t="s">
        <v>356</v>
      </c>
      <c r="I262" s="10">
        <v>2</v>
      </c>
    </row>
    <row r="263" spans="1:9" x14ac:dyDescent="0.25">
      <c r="A263" s="9">
        <v>126</v>
      </c>
      <c r="B263" s="3" t="s">
        <v>722</v>
      </c>
      <c r="C263" s="3">
        <v>32</v>
      </c>
      <c r="D263" s="3" t="s">
        <v>10</v>
      </c>
      <c r="E263" s="3" t="s">
        <v>88</v>
      </c>
      <c r="F263" s="3" t="s">
        <v>723</v>
      </c>
      <c r="G263" s="3" t="s">
        <v>724</v>
      </c>
      <c r="H263" s="3" t="s">
        <v>242</v>
      </c>
      <c r="I263" s="10">
        <v>2.1</v>
      </c>
    </row>
    <row r="264" spans="1:9" x14ac:dyDescent="0.25">
      <c r="A264" s="9">
        <v>319</v>
      </c>
      <c r="B264" s="3" t="s">
        <v>109</v>
      </c>
      <c r="C264" s="3">
        <v>38</v>
      </c>
      <c r="D264" s="3" t="s">
        <v>10</v>
      </c>
      <c r="E264" s="3" t="s">
        <v>60</v>
      </c>
      <c r="F264" s="3" t="s">
        <v>725</v>
      </c>
      <c r="G264" s="3" t="s">
        <v>726</v>
      </c>
      <c r="H264" s="3" t="s">
        <v>356</v>
      </c>
      <c r="I264" s="10">
        <v>1.5</v>
      </c>
    </row>
    <row r="265" spans="1:9" x14ac:dyDescent="0.25">
      <c r="A265" s="9">
        <v>317</v>
      </c>
      <c r="B265" s="3" t="s">
        <v>348</v>
      </c>
      <c r="C265" s="3">
        <v>52</v>
      </c>
      <c r="D265" s="3" t="s">
        <v>39</v>
      </c>
      <c r="E265" s="3" t="s">
        <v>106</v>
      </c>
      <c r="F265" s="3" t="s">
        <v>727</v>
      </c>
      <c r="G265" s="3" t="s">
        <v>728</v>
      </c>
      <c r="H265" s="3" t="s">
        <v>112</v>
      </c>
      <c r="I265" s="10">
        <v>4.5</v>
      </c>
    </row>
    <row r="266" spans="1:9" x14ac:dyDescent="0.25">
      <c r="A266" s="9">
        <v>496</v>
      </c>
      <c r="B266" s="3" t="s">
        <v>729</v>
      </c>
      <c r="C266" s="3">
        <v>56</v>
      </c>
      <c r="D266" s="3" t="s">
        <v>16</v>
      </c>
      <c r="E266" s="3" t="s">
        <v>40</v>
      </c>
      <c r="F266" s="3" t="s">
        <v>730</v>
      </c>
      <c r="G266" s="3" t="s">
        <v>731</v>
      </c>
      <c r="H266" s="3" t="s">
        <v>232</v>
      </c>
      <c r="I266" s="10">
        <v>1.7</v>
      </c>
    </row>
    <row r="267" spans="1:9" x14ac:dyDescent="0.25">
      <c r="A267" s="9">
        <v>431</v>
      </c>
      <c r="B267" s="3" t="s">
        <v>714</v>
      </c>
      <c r="C267" s="3">
        <v>54</v>
      </c>
      <c r="D267" s="3" t="s">
        <v>39</v>
      </c>
      <c r="E267" s="3" t="s">
        <v>72</v>
      </c>
      <c r="F267" s="3" t="s">
        <v>732</v>
      </c>
      <c r="G267" s="3" t="s">
        <v>733</v>
      </c>
      <c r="H267" s="3" t="s">
        <v>156</v>
      </c>
      <c r="I267" s="10">
        <v>1.9</v>
      </c>
    </row>
    <row r="268" spans="1:9" x14ac:dyDescent="0.25">
      <c r="A268" s="9">
        <v>451</v>
      </c>
      <c r="B268" s="3" t="s">
        <v>734</v>
      </c>
      <c r="C268" s="3">
        <v>37</v>
      </c>
      <c r="D268" s="3" t="s">
        <v>54</v>
      </c>
      <c r="E268" s="3" t="s">
        <v>17</v>
      </c>
      <c r="F268" s="3" t="s">
        <v>735</v>
      </c>
      <c r="G268" s="3" t="s">
        <v>736</v>
      </c>
      <c r="H268" s="3" t="s">
        <v>115</v>
      </c>
      <c r="I268" s="10">
        <v>2.9</v>
      </c>
    </row>
    <row r="269" spans="1:9" x14ac:dyDescent="0.25">
      <c r="A269" s="9">
        <v>418</v>
      </c>
      <c r="B269" s="3" t="s">
        <v>260</v>
      </c>
      <c r="C269" s="3">
        <v>45</v>
      </c>
      <c r="D269" s="3" t="s">
        <v>16</v>
      </c>
      <c r="E269" s="3" t="s">
        <v>200</v>
      </c>
      <c r="F269" s="3" t="s">
        <v>737</v>
      </c>
      <c r="G269" s="3" t="s">
        <v>738</v>
      </c>
      <c r="H269" s="3" t="s">
        <v>46</v>
      </c>
      <c r="I269" s="10">
        <v>3.6</v>
      </c>
    </row>
    <row r="270" spans="1:9" x14ac:dyDescent="0.25">
      <c r="A270" s="9">
        <v>25</v>
      </c>
      <c r="B270" s="3" t="s">
        <v>739</v>
      </c>
      <c r="C270" s="3">
        <v>39</v>
      </c>
      <c r="D270" s="3" t="s">
        <v>39</v>
      </c>
      <c r="E270" s="3" t="s">
        <v>255</v>
      </c>
      <c r="F270" s="3" t="s">
        <v>740</v>
      </c>
      <c r="G270" s="3" t="s">
        <v>741</v>
      </c>
      <c r="H270" s="3" t="s">
        <v>156</v>
      </c>
      <c r="I270" s="10">
        <v>4.7</v>
      </c>
    </row>
    <row r="271" spans="1:9" x14ac:dyDescent="0.25">
      <c r="A271" s="9">
        <v>329</v>
      </c>
      <c r="B271" s="3" t="s">
        <v>742</v>
      </c>
      <c r="C271" s="3">
        <v>57</v>
      </c>
      <c r="D271" s="3" t="s">
        <v>48</v>
      </c>
      <c r="E271" s="3" t="s">
        <v>34</v>
      </c>
      <c r="F271" s="3" t="s">
        <v>743</v>
      </c>
      <c r="G271" s="3" t="s">
        <v>744</v>
      </c>
      <c r="H271" s="3" t="s">
        <v>115</v>
      </c>
      <c r="I271" s="10">
        <v>2</v>
      </c>
    </row>
    <row r="272" spans="1:9" x14ac:dyDescent="0.25">
      <c r="A272" s="9">
        <v>440</v>
      </c>
      <c r="B272" s="3" t="s">
        <v>745</v>
      </c>
      <c r="C272" s="3">
        <v>49</v>
      </c>
      <c r="D272" s="3" t="s">
        <v>59</v>
      </c>
      <c r="E272" s="3" t="s">
        <v>49</v>
      </c>
      <c r="F272" s="3" t="s">
        <v>746</v>
      </c>
      <c r="G272" s="3" t="s">
        <v>747</v>
      </c>
      <c r="H272" s="3" t="s">
        <v>219</v>
      </c>
      <c r="I272" s="10">
        <v>4.5</v>
      </c>
    </row>
    <row r="273" spans="1:9" x14ac:dyDescent="0.25">
      <c r="A273" s="9">
        <v>323</v>
      </c>
      <c r="B273" s="3" t="s">
        <v>185</v>
      </c>
      <c r="C273" s="3">
        <v>20</v>
      </c>
      <c r="D273" s="3" t="s">
        <v>16</v>
      </c>
      <c r="E273" s="3" t="s">
        <v>193</v>
      </c>
      <c r="F273" s="3" t="s">
        <v>514</v>
      </c>
      <c r="G273" s="3" t="s">
        <v>515</v>
      </c>
      <c r="H273" s="3" t="s">
        <v>268</v>
      </c>
      <c r="I273" s="10">
        <v>4.2</v>
      </c>
    </row>
    <row r="274" spans="1:9" x14ac:dyDescent="0.25">
      <c r="A274" s="9">
        <v>127</v>
      </c>
      <c r="B274" s="3" t="s">
        <v>748</v>
      </c>
      <c r="C274" s="3">
        <v>32</v>
      </c>
      <c r="D274" s="3" t="s">
        <v>28</v>
      </c>
      <c r="E274" s="3" t="s">
        <v>351</v>
      </c>
      <c r="F274" s="3" t="s">
        <v>749</v>
      </c>
      <c r="G274" s="3" t="s">
        <v>750</v>
      </c>
      <c r="H274" s="3" t="s">
        <v>136</v>
      </c>
      <c r="I274" s="10">
        <v>3.2</v>
      </c>
    </row>
    <row r="275" spans="1:9" x14ac:dyDescent="0.25">
      <c r="A275" s="9">
        <v>424</v>
      </c>
      <c r="B275" s="3" t="s">
        <v>751</v>
      </c>
      <c r="C275" s="3">
        <v>43</v>
      </c>
      <c r="D275" s="3" t="s">
        <v>48</v>
      </c>
      <c r="E275" s="3" t="s">
        <v>144</v>
      </c>
      <c r="F275" s="3" t="s">
        <v>752</v>
      </c>
      <c r="G275" s="3" t="s">
        <v>753</v>
      </c>
      <c r="H275" s="3" t="s">
        <v>112</v>
      </c>
      <c r="I275" s="10">
        <v>2.7</v>
      </c>
    </row>
    <row r="276" spans="1:9" x14ac:dyDescent="0.25">
      <c r="A276" s="9">
        <v>328</v>
      </c>
      <c r="B276" s="3" t="s">
        <v>754</v>
      </c>
      <c r="C276" s="3">
        <v>20</v>
      </c>
      <c r="D276" s="3" t="s">
        <v>39</v>
      </c>
      <c r="E276" s="3" t="s">
        <v>106</v>
      </c>
      <c r="F276" s="3" t="s">
        <v>755</v>
      </c>
      <c r="G276" s="3" t="s">
        <v>756</v>
      </c>
      <c r="H276" s="3" t="s">
        <v>268</v>
      </c>
      <c r="I276" s="10">
        <v>2.5</v>
      </c>
    </row>
    <row r="277" spans="1:9" x14ac:dyDescent="0.25">
      <c r="A277" s="9">
        <v>179</v>
      </c>
      <c r="B277" s="3" t="s">
        <v>757</v>
      </c>
      <c r="C277" s="3">
        <v>56</v>
      </c>
      <c r="D277" s="3" t="s">
        <v>48</v>
      </c>
      <c r="E277" s="3" t="s">
        <v>106</v>
      </c>
      <c r="F277" s="3" t="s">
        <v>758</v>
      </c>
      <c r="G277" s="3" t="s">
        <v>759</v>
      </c>
      <c r="H277" s="3" t="s">
        <v>75</v>
      </c>
      <c r="I277" s="10">
        <v>3.4</v>
      </c>
    </row>
    <row r="278" spans="1:9" x14ac:dyDescent="0.25">
      <c r="A278" s="9">
        <v>444</v>
      </c>
      <c r="B278" s="3" t="s">
        <v>570</v>
      </c>
      <c r="C278" s="3">
        <v>33</v>
      </c>
      <c r="D278" s="3" t="s">
        <v>59</v>
      </c>
      <c r="E278" s="3" t="s">
        <v>72</v>
      </c>
      <c r="F278" s="3" t="s">
        <v>436</v>
      </c>
      <c r="G278" s="3" t="s">
        <v>760</v>
      </c>
      <c r="H278" s="3" t="s">
        <v>101</v>
      </c>
      <c r="I278" s="10">
        <v>4</v>
      </c>
    </row>
    <row r="279" spans="1:9" x14ac:dyDescent="0.25">
      <c r="A279" s="9">
        <v>381</v>
      </c>
      <c r="B279" s="3" t="s">
        <v>116</v>
      </c>
      <c r="C279" s="3">
        <v>47</v>
      </c>
      <c r="D279" s="3" t="s">
        <v>48</v>
      </c>
      <c r="E279" s="3" t="s">
        <v>40</v>
      </c>
      <c r="F279" s="3" t="s">
        <v>131</v>
      </c>
      <c r="G279" s="3" t="s">
        <v>761</v>
      </c>
      <c r="H279" s="3" t="s">
        <v>115</v>
      </c>
      <c r="I279" s="10">
        <v>2.4</v>
      </c>
    </row>
    <row r="280" spans="1:9" x14ac:dyDescent="0.25">
      <c r="A280" s="9">
        <v>224</v>
      </c>
      <c r="B280" s="3" t="s">
        <v>324</v>
      </c>
      <c r="C280" s="3">
        <v>58</v>
      </c>
      <c r="D280" s="3" t="s">
        <v>10</v>
      </c>
      <c r="E280" s="3" t="s">
        <v>255</v>
      </c>
      <c r="F280" s="3" t="s">
        <v>762</v>
      </c>
      <c r="G280" s="3" t="s">
        <v>763</v>
      </c>
      <c r="H280" s="3" t="s">
        <v>75</v>
      </c>
      <c r="I280" s="10">
        <v>4.8</v>
      </c>
    </row>
    <row r="281" spans="1:9" x14ac:dyDescent="0.25">
      <c r="A281" s="9">
        <v>359</v>
      </c>
      <c r="B281" s="3" t="s">
        <v>764</v>
      </c>
      <c r="C281" s="3">
        <v>40</v>
      </c>
      <c r="D281" s="3" t="s">
        <v>59</v>
      </c>
      <c r="E281" s="3" t="s">
        <v>120</v>
      </c>
      <c r="F281" s="3" t="s">
        <v>765</v>
      </c>
      <c r="G281" s="3" t="s">
        <v>766</v>
      </c>
      <c r="H281" s="3" t="s">
        <v>26</v>
      </c>
      <c r="I281" s="10">
        <v>1.1000000000000001</v>
      </c>
    </row>
    <row r="282" spans="1:9" x14ac:dyDescent="0.25">
      <c r="A282" s="9">
        <v>94</v>
      </c>
      <c r="B282" s="3" t="s">
        <v>767</v>
      </c>
      <c r="C282" s="3">
        <v>50</v>
      </c>
      <c r="D282" s="3" t="s">
        <v>28</v>
      </c>
      <c r="E282" s="3" t="s">
        <v>204</v>
      </c>
      <c r="F282" s="3" t="s">
        <v>768</v>
      </c>
      <c r="G282" s="3" t="s">
        <v>769</v>
      </c>
      <c r="H282" s="3" t="s">
        <v>26</v>
      </c>
      <c r="I282" s="10">
        <v>3.7</v>
      </c>
    </row>
    <row r="283" spans="1:9" x14ac:dyDescent="0.25">
      <c r="A283" s="9">
        <v>70</v>
      </c>
      <c r="B283" s="3" t="s">
        <v>770</v>
      </c>
      <c r="C283" s="3">
        <v>40</v>
      </c>
      <c r="D283" s="3" t="s">
        <v>16</v>
      </c>
      <c r="E283" s="3" t="s">
        <v>72</v>
      </c>
      <c r="F283" s="3" t="s">
        <v>771</v>
      </c>
      <c r="G283" s="3" t="s">
        <v>772</v>
      </c>
      <c r="H283" s="3" t="s">
        <v>79</v>
      </c>
      <c r="I283" s="10">
        <v>2.5</v>
      </c>
    </row>
    <row r="284" spans="1:9" x14ac:dyDescent="0.25">
      <c r="A284" s="9">
        <v>37</v>
      </c>
      <c r="B284" s="3" t="s">
        <v>127</v>
      </c>
      <c r="C284" s="3">
        <v>56</v>
      </c>
      <c r="D284" s="3" t="s">
        <v>22</v>
      </c>
      <c r="E284" s="3" t="s">
        <v>193</v>
      </c>
      <c r="F284" s="3" t="s">
        <v>773</v>
      </c>
      <c r="G284" s="3" t="s">
        <v>774</v>
      </c>
      <c r="H284" s="3" t="s">
        <v>26</v>
      </c>
      <c r="I284" s="10">
        <v>2.4</v>
      </c>
    </row>
    <row r="285" spans="1:9" x14ac:dyDescent="0.25">
      <c r="A285" s="9">
        <v>161</v>
      </c>
      <c r="B285" s="3" t="s">
        <v>116</v>
      </c>
      <c r="C285" s="3">
        <v>30</v>
      </c>
      <c r="D285" s="3" t="s">
        <v>22</v>
      </c>
      <c r="E285" s="3" t="s">
        <v>200</v>
      </c>
      <c r="F285" s="3" t="s">
        <v>775</v>
      </c>
      <c r="G285" s="3" t="s">
        <v>776</v>
      </c>
      <c r="H285" s="3" t="s">
        <v>79</v>
      </c>
      <c r="I285" s="10">
        <v>3.4</v>
      </c>
    </row>
    <row r="286" spans="1:9" x14ac:dyDescent="0.25">
      <c r="A286" s="9">
        <v>12</v>
      </c>
      <c r="B286" s="3" t="s">
        <v>286</v>
      </c>
      <c r="C286" s="3">
        <v>53</v>
      </c>
      <c r="D286" s="3" t="s">
        <v>28</v>
      </c>
      <c r="E286" s="3" t="s">
        <v>72</v>
      </c>
      <c r="F286" s="3" t="s">
        <v>777</v>
      </c>
      <c r="G286" s="3" t="s">
        <v>778</v>
      </c>
      <c r="H286" s="3" t="s">
        <v>20</v>
      </c>
      <c r="I286" s="10">
        <v>1.5</v>
      </c>
    </row>
    <row r="287" spans="1:9" x14ac:dyDescent="0.25">
      <c r="A287" s="9">
        <v>145</v>
      </c>
      <c r="B287" s="3" t="s">
        <v>779</v>
      </c>
      <c r="C287" s="3">
        <v>39</v>
      </c>
      <c r="D287" s="3" t="s">
        <v>22</v>
      </c>
      <c r="E287" s="3" t="s">
        <v>255</v>
      </c>
      <c r="F287" s="3" t="s">
        <v>780</v>
      </c>
      <c r="G287" s="3" t="s">
        <v>781</v>
      </c>
      <c r="H287" s="3" t="s">
        <v>101</v>
      </c>
      <c r="I287" s="10">
        <v>1</v>
      </c>
    </row>
    <row r="288" spans="1:9" x14ac:dyDescent="0.25">
      <c r="A288" s="9">
        <v>361</v>
      </c>
      <c r="B288" s="3" t="s">
        <v>570</v>
      </c>
      <c r="C288" s="3">
        <v>45</v>
      </c>
      <c r="D288" s="3" t="s">
        <v>10</v>
      </c>
      <c r="E288" s="3" t="s">
        <v>204</v>
      </c>
      <c r="F288" s="3" t="s">
        <v>782</v>
      </c>
      <c r="G288" s="3" t="s">
        <v>783</v>
      </c>
      <c r="H288" s="3" t="s">
        <v>232</v>
      </c>
      <c r="I288" s="10">
        <v>1.5</v>
      </c>
    </row>
    <row r="289" spans="1:9" x14ac:dyDescent="0.25">
      <c r="A289" s="9">
        <v>128</v>
      </c>
      <c r="B289" s="3" t="s">
        <v>784</v>
      </c>
      <c r="C289" s="3">
        <v>43</v>
      </c>
      <c r="D289" s="3" t="s">
        <v>28</v>
      </c>
      <c r="E289" s="3" t="s">
        <v>88</v>
      </c>
      <c r="F289" s="3" t="s">
        <v>785</v>
      </c>
      <c r="G289" s="3"/>
      <c r="H289" s="3" t="s">
        <v>156</v>
      </c>
      <c r="I289" s="10">
        <v>3.5</v>
      </c>
    </row>
    <row r="290" spans="1:9" x14ac:dyDescent="0.25">
      <c r="A290" s="9">
        <v>448</v>
      </c>
      <c r="B290" s="3" t="s">
        <v>429</v>
      </c>
      <c r="C290" s="3">
        <v>45</v>
      </c>
      <c r="D290" s="3" t="s">
        <v>48</v>
      </c>
      <c r="E290" s="3" t="s">
        <v>81</v>
      </c>
      <c r="F290" s="3" t="s">
        <v>786</v>
      </c>
      <c r="G290" s="3" t="s">
        <v>787</v>
      </c>
      <c r="H290" s="3" t="s">
        <v>115</v>
      </c>
      <c r="I290" s="10">
        <v>4.7</v>
      </c>
    </row>
    <row r="291" spans="1:9" x14ac:dyDescent="0.25">
      <c r="A291" s="9">
        <v>10</v>
      </c>
      <c r="B291" s="3" t="s">
        <v>604</v>
      </c>
      <c r="C291" s="3">
        <v>28</v>
      </c>
      <c r="D291" s="3" t="s">
        <v>48</v>
      </c>
      <c r="E291" s="3" t="s">
        <v>29</v>
      </c>
      <c r="F291" s="3" t="s">
        <v>788</v>
      </c>
      <c r="G291" s="3" t="s">
        <v>789</v>
      </c>
      <c r="H291" s="3" t="s">
        <v>169</v>
      </c>
      <c r="I291" s="10">
        <v>4.9000000000000004</v>
      </c>
    </row>
    <row r="292" spans="1:9" x14ac:dyDescent="0.25">
      <c r="A292" s="9">
        <v>382</v>
      </c>
      <c r="B292" s="3" t="s">
        <v>790</v>
      </c>
      <c r="C292" s="3">
        <v>52</v>
      </c>
      <c r="D292" s="3" t="s">
        <v>48</v>
      </c>
      <c r="E292" s="3" t="s">
        <v>255</v>
      </c>
      <c r="F292" s="3" t="s">
        <v>791</v>
      </c>
      <c r="G292" s="3" t="s">
        <v>792</v>
      </c>
      <c r="H292" s="3" t="s">
        <v>67</v>
      </c>
      <c r="I292" s="10">
        <v>3.5</v>
      </c>
    </row>
    <row r="293" spans="1:9" x14ac:dyDescent="0.25">
      <c r="A293" s="9">
        <v>177</v>
      </c>
      <c r="B293" s="3" t="s">
        <v>298</v>
      </c>
      <c r="C293" s="3">
        <v>58</v>
      </c>
      <c r="D293" s="3" t="s">
        <v>22</v>
      </c>
      <c r="E293" s="3" t="s">
        <v>200</v>
      </c>
      <c r="F293" s="3" t="s">
        <v>793</v>
      </c>
      <c r="G293" s="3" t="s">
        <v>794</v>
      </c>
      <c r="H293" s="3" t="s">
        <v>67</v>
      </c>
      <c r="I293" s="10">
        <v>1.2</v>
      </c>
    </row>
    <row r="294" spans="1:9" x14ac:dyDescent="0.25">
      <c r="A294" s="9">
        <v>232</v>
      </c>
      <c r="B294" s="3" t="s">
        <v>795</v>
      </c>
      <c r="C294" s="3">
        <v>45</v>
      </c>
      <c r="D294" s="3" t="s">
        <v>48</v>
      </c>
      <c r="E294" s="3" t="s">
        <v>81</v>
      </c>
      <c r="F294" s="3" t="s">
        <v>796</v>
      </c>
      <c r="G294" s="3" t="s">
        <v>797</v>
      </c>
      <c r="H294" s="3" t="s">
        <v>75</v>
      </c>
      <c r="I294" s="10">
        <v>1.9</v>
      </c>
    </row>
    <row r="295" spans="1:9" x14ac:dyDescent="0.25">
      <c r="A295" s="9">
        <v>211</v>
      </c>
      <c r="B295" s="3" t="s">
        <v>47</v>
      </c>
      <c r="C295" s="3">
        <v>23</v>
      </c>
      <c r="D295" s="3" t="s">
        <v>10</v>
      </c>
      <c r="E295" s="3" t="s">
        <v>29</v>
      </c>
      <c r="F295" s="3" t="s">
        <v>798</v>
      </c>
      <c r="G295" s="3" t="s">
        <v>799</v>
      </c>
      <c r="H295" s="3" t="s">
        <v>242</v>
      </c>
      <c r="I295" s="10">
        <v>5</v>
      </c>
    </row>
    <row r="296" spans="1:9" x14ac:dyDescent="0.25">
      <c r="A296" s="9">
        <v>129</v>
      </c>
      <c r="B296" s="3" t="s">
        <v>477</v>
      </c>
      <c r="C296" s="3">
        <v>59</v>
      </c>
      <c r="D296" s="3" t="s">
        <v>22</v>
      </c>
      <c r="E296" s="3" t="s">
        <v>60</v>
      </c>
      <c r="F296" s="3" t="s">
        <v>800</v>
      </c>
      <c r="G296" s="3" t="s">
        <v>801</v>
      </c>
      <c r="H296" s="3" t="s">
        <v>156</v>
      </c>
      <c r="I296" s="10">
        <v>2</v>
      </c>
    </row>
    <row r="297" spans="1:9" x14ac:dyDescent="0.25">
      <c r="A297" s="9">
        <v>144</v>
      </c>
      <c r="B297" s="3" t="s">
        <v>176</v>
      </c>
      <c r="C297" s="3">
        <v>24</v>
      </c>
      <c r="D297" s="3" t="s">
        <v>22</v>
      </c>
      <c r="E297" s="3" t="s">
        <v>11</v>
      </c>
      <c r="F297" s="3" t="s">
        <v>802</v>
      </c>
      <c r="G297" s="3" t="s">
        <v>803</v>
      </c>
      <c r="H297" s="3" t="s">
        <v>169</v>
      </c>
      <c r="I297" s="10">
        <v>1.8</v>
      </c>
    </row>
    <row r="298" spans="1:9" x14ac:dyDescent="0.25">
      <c r="A298" s="9">
        <v>242</v>
      </c>
      <c r="B298" s="3" t="s">
        <v>160</v>
      </c>
      <c r="C298" s="3">
        <v>19</v>
      </c>
      <c r="D298" s="3" t="s">
        <v>10</v>
      </c>
      <c r="E298" s="3" t="s">
        <v>144</v>
      </c>
      <c r="F298" s="3" t="s">
        <v>804</v>
      </c>
      <c r="G298" s="3" t="s">
        <v>805</v>
      </c>
      <c r="H298" s="3" t="s">
        <v>26</v>
      </c>
      <c r="I298" s="10">
        <v>2.2999999999999998</v>
      </c>
    </row>
    <row r="299" spans="1:9" x14ac:dyDescent="0.25">
      <c r="A299" s="9">
        <v>8</v>
      </c>
      <c r="B299" s="3" t="s">
        <v>806</v>
      </c>
      <c r="C299" s="3">
        <v>40</v>
      </c>
      <c r="D299" s="3" t="s">
        <v>59</v>
      </c>
      <c r="E299" s="3" t="s">
        <v>106</v>
      </c>
      <c r="F299" s="3" t="s">
        <v>807</v>
      </c>
      <c r="G299" s="3" t="s">
        <v>808</v>
      </c>
      <c r="H299" s="3" t="s">
        <v>333</v>
      </c>
      <c r="I299" s="10">
        <v>2.8</v>
      </c>
    </row>
    <row r="300" spans="1:9" x14ac:dyDescent="0.25">
      <c r="A300" s="9">
        <v>299</v>
      </c>
      <c r="B300" s="3" t="s">
        <v>43</v>
      </c>
      <c r="C300" s="3">
        <v>50</v>
      </c>
      <c r="D300" s="3" t="s">
        <v>22</v>
      </c>
      <c r="E300" s="3" t="s">
        <v>124</v>
      </c>
      <c r="F300" s="3" t="s">
        <v>809</v>
      </c>
      <c r="G300" s="3" t="s">
        <v>810</v>
      </c>
      <c r="H300" s="3" t="s">
        <v>26</v>
      </c>
      <c r="I300" s="10">
        <v>2.4</v>
      </c>
    </row>
    <row r="301" spans="1:9" x14ac:dyDescent="0.25">
      <c r="A301" s="9">
        <v>255</v>
      </c>
      <c r="B301" s="3" t="s">
        <v>623</v>
      </c>
      <c r="C301" s="3">
        <v>41</v>
      </c>
      <c r="D301" s="3" t="s">
        <v>16</v>
      </c>
      <c r="E301" s="3" t="s">
        <v>29</v>
      </c>
      <c r="F301" s="3" t="s">
        <v>811</v>
      </c>
      <c r="G301" s="3" t="s">
        <v>812</v>
      </c>
      <c r="H301" s="3" t="s">
        <v>101</v>
      </c>
      <c r="I301" s="10">
        <v>2.4</v>
      </c>
    </row>
    <row r="302" spans="1:9" x14ac:dyDescent="0.25">
      <c r="A302" s="9">
        <v>378</v>
      </c>
      <c r="B302" s="3" t="s">
        <v>813</v>
      </c>
      <c r="C302" s="3">
        <v>21</v>
      </c>
      <c r="D302" s="3" t="s">
        <v>59</v>
      </c>
      <c r="E302" s="3" t="s">
        <v>17</v>
      </c>
      <c r="F302" s="3" t="s">
        <v>814</v>
      </c>
      <c r="G302" s="3" t="s">
        <v>815</v>
      </c>
      <c r="H302" s="3" t="s">
        <v>101</v>
      </c>
      <c r="I302" s="10">
        <v>4</v>
      </c>
    </row>
    <row r="303" spans="1:9" x14ac:dyDescent="0.25">
      <c r="A303" s="9">
        <v>342</v>
      </c>
      <c r="B303" s="3" t="s">
        <v>739</v>
      </c>
      <c r="C303" s="3">
        <v>26</v>
      </c>
      <c r="D303" s="3" t="s">
        <v>39</v>
      </c>
      <c r="E303" s="3" t="s">
        <v>34</v>
      </c>
      <c r="F303" s="3" t="s">
        <v>816</v>
      </c>
      <c r="G303" s="3" t="s">
        <v>817</v>
      </c>
      <c r="H303" s="3" t="s">
        <v>37</v>
      </c>
      <c r="I303" s="10">
        <v>3.7</v>
      </c>
    </row>
    <row r="304" spans="1:9" x14ac:dyDescent="0.25">
      <c r="A304" s="9">
        <v>9</v>
      </c>
      <c r="B304" s="3" t="s">
        <v>818</v>
      </c>
      <c r="C304" s="3">
        <v>28</v>
      </c>
      <c r="D304" s="3" t="s">
        <v>39</v>
      </c>
      <c r="E304" s="3" t="s">
        <v>11</v>
      </c>
      <c r="F304" s="3" t="s">
        <v>819</v>
      </c>
      <c r="G304" s="3" t="s">
        <v>820</v>
      </c>
      <c r="H304" s="3" t="s">
        <v>37</v>
      </c>
      <c r="I304" s="10">
        <v>1.5</v>
      </c>
    </row>
    <row r="305" spans="1:9" x14ac:dyDescent="0.25">
      <c r="A305" s="9">
        <v>157</v>
      </c>
      <c r="B305" s="3" t="s">
        <v>821</v>
      </c>
      <c r="C305" s="3">
        <v>56</v>
      </c>
      <c r="D305" s="3" t="s">
        <v>22</v>
      </c>
      <c r="E305" s="3" t="s">
        <v>255</v>
      </c>
      <c r="F305" s="3" t="s">
        <v>822</v>
      </c>
      <c r="G305" s="3" t="s">
        <v>823</v>
      </c>
      <c r="H305" s="3" t="s">
        <v>67</v>
      </c>
      <c r="I305" s="10">
        <v>1.2</v>
      </c>
    </row>
    <row r="306" spans="1:9" x14ac:dyDescent="0.25">
      <c r="A306" s="9">
        <v>28</v>
      </c>
      <c r="B306" s="3" t="s">
        <v>116</v>
      </c>
      <c r="C306" s="3">
        <v>59</v>
      </c>
      <c r="D306" s="3" t="s">
        <v>59</v>
      </c>
      <c r="E306" s="3" t="s">
        <v>29</v>
      </c>
      <c r="F306" s="3" t="s">
        <v>824</v>
      </c>
      <c r="G306" s="3" t="s">
        <v>825</v>
      </c>
      <c r="H306" s="3" t="s">
        <v>156</v>
      </c>
      <c r="I306" s="10">
        <v>4</v>
      </c>
    </row>
    <row r="307" spans="1:9" x14ac:dyDescent="0.25">
      <c r="A307" s="9">
        <v>267</v>
      </c>
      <c r="B307" s="3" t="s">
        <v>286</v>
      </c>
      <c r="C307" s="3">
        <v>42</v>
      </c>
      <c r="D307" s="3" t="s">
        <v>54</v>
      </c>
      <c r="E307" s="3" t="s">
        <v>255</v>
      </c>
      <c r="F307" s="3" t="s">
        <v>826</v>
      </c>
      <c r="G307" s="3" t="s">
        <v>827</v>
      </c>
      <c r="H307" s="3" t="s">
        <v>101</v>
      </c>
      <c r="I307" s="10">
        <v>1.4</v>
      </c>
    </row>
    <row r="308" spans="1:9" x14ac:dyDescent="0.25">
      <c r="A308" s="9">
        <v>65</v>
      </c>
      <c r="B308" s="3" t="s">
        <v>91</v>
      </c>
      <c r="C308" s="3">
        <v>31</v>
      </c>
      <c r="D308" s="3" t="s">
        <v>10</v>
      </c>
      <c r="E308" s="3" t="s">
        <v>88</v>
      </c>
      <c r="F308" s="3" t="s">
        <v>828</v>
      </c>
      <c r="G308" s="3" t="s">
        <v>829</v>
      </c>
      <c r="H308" s="3" t="s">
        <v>101</v>
      </c>
      <c r="I308" s="10">
        <v>3.2</v>
      </c>
    </row>
    <row r="309" spans="1:9" x14ac:dyDescent="0.25">
      <c r="A309" s="9">
        <v>256</v>
      </c>
      <c r="B309" s="3" t="s">
        <v>9</v>
      </c>
      <c r="C309" s="3">
        <v>50</v>
      </c>
      <c r="D309" s="3" t="s">
        <v>39</v>
      </c>
      <c r="E309" s="3" t="s">
        <v>40</v>
      </c>
      <c r="F309" s="3" t="s">
        <v>830</v>
      </c>
      <c r="G309" s="3" t="s">
        <v>831</v>
      </c>
      <c r="H309" s="3" t="s">
        <v>232</v>
      </c>
      <c r="I309" s="10">
        <v>4.0999999999999996</v>
      </c>
    </row>
    <row r="310" spans="1:9" x14ac:dyDescent="0.25">
      <c r="A310" s="9">
        <v>325</v>
      </c>
      <c r="B310" s="3" t="s">
        <v>176</v>
      </c>
      <c r="C310" s="3">
        <v>42</v>
      </c>
      <c r="D310" s="3" t="s">
        <v>48</v>
      </c>
      <c r="E310" s="3" t="s">
        <v>60</v>
      </c>
      <c r="F310" s="3" t="s">
        <v>832</v>
      </c>
      <c r="G310" s="3" t="s">
        <v>833</v>
      </c>
      <c r="H310" s="3" t="s">
        <v>46</v>
      </c>
      <c r="I310" s="10">
        <v>3.2</v>
      </c>
    </row>
    <row r="311" spans="1:9" x14ac:dyDescent="0.25">
      <c r="A311" s="9">
        <v>154</v>
      </c>
      <c r="B311" s="3" t="s">
        <v>518</v>
      </c>
      <c r="C311" s="3">
        <v>28</v>
      </c>
      <c r="D311" s="3" t="s">
        <v>16</v>
      </c>
      <c r="E311" s="3" t="s">
        <v>193</v>
      </c>
      <c r="F311" s="3" t="s">
        <v>834</v>
      </c>
      <c r="G311" s="3" t="s">
        <v>835</v>
      </c>
      <c r="H311" s="3" t="s">
        <v>75</v>
      </c>
      <c r="I311" s="10">
        <v>2.7</v>
      </c>
    </row>
    <row r="312" spans="1:9" x14ac:dyDescent="0.25">
      <c r="A312" s="9">
        <v>49</v>
      </c>
      <c r="B312" s="3" t="s">
        <v>160</v>
      </c>
      <c r="C312" s="3">
        <v>52</v>
      </c>
      <c r="D312" s="3" t="s">
        <v>16</v>
      </c>
      <c r="E312" s="3" t="s">
        <v>23</v>
      </c>
      <c r="F312" s="3" t="s">
        <v>836</v>
      </c>
      <c r="G312" s="3" t="s">
        <v>837</v>
      </c>
      <c r="H312" s="3" t="s">
        <v>52</v>
      </c>
      <c r="I312" s="10">
        <v>3.4</v>
      </c>
    </row>
    <row r="313" spans="1:9" x14ac:dyDescent="0.25">
      <c r="A313" s="9">
        <v>209</v>
      </c>
      <c r="B313" s="3" t="s">
        <v>354</v>
      </c>
      <c r="C313" s="3">
        <v>50</v>
      </c>
      <c r="D313" s="3" t="s">
        <v>28</v>
      </c>
      <c r="E313" s="3" t="s">
        <v>95</v>
      </c>
      <c r="F313" s="3" t="s">
        <v>838</v>
      </c>
      <c r="G313" s="3" t="s">
        <v>839</v>
      </c>
      <c r="H313" s="3" t="s">
        <v>242</v>
      </c>
      <c r="I313" s="10">
        <v>3</v>
      </c>
    </row>
    <row r="314" spans="1:9" x14ac:dyDescent="0.25">
      <c r="A314" s="9">
        <v>288</v>
      </c>
      <c r="B314" s="3" t="s">
        <v>87</v>
      </c>
      <c r="C314" s="3">
        <v>39</v>
      </c>
      <c r="D314" s="3" t="s">
        <v>48</v>
      </c>
      <c r="E314" s="3" t="s">
        <v>95</v>
      </c>
      <c r="F314" s="3" t="s">
        <v>840</v>
      </c>
      <c r="G314" s="3" t="s">
        <v>841</v>
      </c>
      <c r="H314" s="3" t="s">
        <v>142</v>
      </c>
      <c r="I314" s="10">
        <v>5</v>
      </c>
    </row>
    <row r="315" spans="1:9" x14ac:dyDescent="0.25">
      <c r="A315" s="9">
        <v>2</v>
      </c>
      <c r="B315" s="3" t="s">
        <v>842</v>
      </c>
      <c r="C315" s="3">
        <v>46</v>
      </c>
      <c r="D315" s="3" t="s">
        <v>28</v>
      </c>
      <c r="E315" s="3" t="s">
        <v>11</v>
      </c>
      <c r="F315" s="3" t="s">
        <v>652</v>
      </c>
      <c r="G315" s="3" t="s">
        <v>843</v>
      </c>
      <c r="H315" s="3" t="s">
        <v>142</v>
      </c>
      <c r="I315" s="10">
        <v>3.3</v>
      </c>
    </row>
    <row r="316" spans="1:9" x14ac:dyDescent="0.25">
      <c r="A316" s="9">
        <v>270</v>
      </c>
      <c r="B316" s="3" t="s">
        <v>385</v>
      </c>
      <c r="C316" s="3">
        <v>35</v>
      </c>
      <c r="D316" s="3" t="s">
        <v>59</v>
      </c>
      <c r="E316" s="3" t="s">
        <v>124</v>
      </c>
      <c r="F316" s="3" t="s">
        <v>844</v>
      </c>
      <c r="G316" s="3" t="s">
        <v>845</v>
      </c>
      <c r="H316" s="3" t="s">
        <v>115</v>
      </c>
      <c r="I316" s="10">
        <v>2.2000000000000002</v>
      </c>
    </row>
    <row r="317" spans="1:9" x14ac:dyDescent="0.25">
      <c r="A317" s="9">
        <v>266</v>
      </c>
      <c r="B317" s="3" t="s">
        <v>102</v>
      </c>
      <c r="C317" s="3">
        <v>52</v>
      </c>
      <c r="D317" s="3" t="s">
        <v>22</v>
      </c>
      <c r="E317" s="3" t="s">
        <v>124</v>
      </c>
      <c r="F317" s="3" t="s">
        <v>846</v>
      </c>
      <c r="G317" s="3" t="s">
        <v>847</v>
      </c>
      <c r="H317" s="3" t="s">
        <v>75</v>
      </c>
      <c r="I317" s="10">
        <v>2</v>
      </c>
    </row>
    <row r="318" spans="1:9" x14ac:dyDescent="0.25">
      <c r="A318" s="9">
        <v>334</v>
      </c>
      <c r="B318" s="3" t="s">
        <v>245</v>
      </c>
      <c r="C318" s="3">
        <v>19</v>
      </c>
      <c r="D318" s="3" t="s">
        <v>10</v>
      </c>
      <c r="E318" s="3" t="s">
        <v>255</v>
      </c>
      <c r="F318" s="3" t="s">
        <v>848</v>
      </c>
      <c r="G318" s="3" t="s">
        <v>849</v>
      </c>
      <c r="H318" s="3" t="s">
        <v>136</v>
      </c>
      <c r="I318" s="10">
        <v>3.7</v>
      </c>
    </row>
    <row r="319" spans="1:9" x14ac:dyDescent="0.25">
      <c r="A319" s="9">
        <v>341</v>
      </c>
      <c r="B319" s="3" t="s">
        <v>251</v>
      </c>
      <c r="C319" s="3">
        <v>50</v>
      </c>
      <c r="D319" s="3" t="s">
        <v>48</v>
      </c>
      <c r="E319" s="3" t="s">
        <v>204</v>
      </c>
      <c r="F319" s="3" t="s">
        <v>252</v>
      </c>
      <c r="G319" s="3" t="s">
        <v>850</v>
      </c>
      <c r="H319" s="3" t="s">
        <v>75</v>
      </c>
      <c r="I319" s="10">
        <v>2.4</v>
      </c>
    </row>
    <row r="320" spans="1:9" x14ac:dyDescent="0.25">
      <c r="A320" s="9">
        <v>96</v>
      </c>
      <c r="B320" s="3" t="s">
        <v>851</v>
      </c>
      <c r="C320" s="3">
        <v>59</v>
      </c>
      <c r="D320" s="3" t="s">
        <v>10</v>
      </c>
      <c r="E320" s="3" t="s">
        <v>124</v>
      </c>
      <c r="F320" s="3" t="s">
        <v>852</v>
      </c>
      <c r="G320" s="3" t="s">
        <v>853</v>
      </c>
      <c r="H320" s="3" t="s">
        <v>112</v>
      </c>
      <c r="I320" s="10">
        <v>2.2000000000000002</v>
      </c>
    </row>
    <row r="321" spans="1:9" x14ac:dyDescent="0.25">
      <c r="A321" s="9">
        <v>473</v>
      </c>
      <c r="B321" s="3" t="s">
        <v>854</v>
      </c>
      <c r="C321" s="3">
        <v>25</v>
      </c>
      <c r="D321" s="3" t="s">
        <v>10</v>
      </c>
      <c r="E321" s="3" t="s">
        <v>120</v>
      </c>
      <c r="F321" s="3" t="s">
        <v>855</v>
      </c>
      <c r="G321" s="3" t="s">
        <v>856</v>
      </c>
      <c r="H321" s="3" t="s">
        <v>46</v>
      </c>
      <c r="I321" s="10">
        <v>1.2</v>
      </c>
    </row>
    <row r="322" spans="1:9" x14ac:dyDescent="0.25">
      <c r="A322" s="9">
        <v>305</v>
      </c>
      <c r="B322" s="3" t="s">
        <v>147</v>
      </c>
      <c r="C322" s="3">
        <v>52</v>
      </c>
      <c r="D322" s="3" t="s">
        <v>28</v>
      </c>
      <c r="E322" s="3" t="s">
        <v>255</v>
      </c>
      <c r="F322" s="3" t="s">
        <v>857</v>
      </c>
      <c r="G322" s="3" t="s">
        <v>858</v>
      </c>
      <c r="H322" s="3" t="s">
        <v>67</v>
      </c>
      <c r="I322" s="10">
        <v>1.7</v>
      </c>
    </row>
    <row r="323" spans="1:9" x14ac:dyDescent="0.25">
      <c r="A323" s="9">
        <v>91</v>
      </c>
      <c r="B323" s="3" t="s">
        <v>292</v>
      </c>
      <c r="C323" s="3">
        <v>25</v>
      </c>
      <c r="D323" s="3" t="s">
        <v>22</v>
      </c>
      <c r="E323" s="3" t="s">
        <v>11</v>
      </c>
      <c r="F323" s="3" t="s">
        <v>293</v>
      </c>
      <c r="G323" s="3" t="s">
        <v>294</v>
      </c>
      <c r="H323" s="3" t="s">
        <v>75</v>
      </c>
      <c r="I323" s="10">
        <v>4.4000000000000004</v>
      </c>
    </row>
    <row r="324" spans="1:9" x14ac:dyDescent="0.25">
      <c r="A324" s="9">
        <v>117</v>
      </c>
      <c r="B324" s="3" t="s">
        <v>813</v>
      </c>
      <c r="C324" s="3">
        <v>31</v>
      </c>
      <c r="D324" s="3" t="s">
        <v>22</v>
      </c>
      <c r="E324" s="3" t="s">
        <v>88</v>
      </c>
      <c r="F324" s="3" t="s">
        <v>859</v>
      </c>
      <c r="G324" s="3" t="s">
        <v>860</v>
      </c>
      <c r="H324" s="3" t="s">
        <v>52</v>
      </c>
      <c r="I324" s="10">
        <v>4.8</v>
      </c>
    </row>
    <row r="325" spans="1:9" x14ac:dyDescent="0.25">
      <c r="A325" s="9">
        <v>46</v>
      </c>
      <c r="B325" s="3" t="s">
        <v>327</v>
      </c>
      <c r="C325" s="3">
        <v>45</v>
      </c>
      <c r="D325" s="3" t="s">
        <v>28</v>
      </c>
      <c r="E325" s="3" t="s">
        <v>193</v>
      </c>
      <c r="F325" s="3" t="s">
        <v>612</v>
      </c>
      <c r="G325" s="3" t="s">
        <v>861</v>
      </c>
      <c r="H325" s="3" t="s">
        <v>356</v>
      </c>
      <c r="I325" s="10">
        <v>1.3</v>
      </c>
    </row>
    <row r="326" spans="1:9" x14ac:dyDescent="0.25">
      <c r="A326" s="9">
        <v>162</v>
      </c>
      <c r="B326" s="3" t="s">
        <v>862</v>
      </c>
      <c r="C326" s="3">
        <v>58</v>
      </c>
      <c r="D326" s="3" t="s">
        <v>16</v>
      </c>
      <c r="E326" s="3" t="s">
        <v>88</v>
      </c>
      <c r="F326" s="3" t="s">
        <v>863</v>
      </c>
      <c r="G326" s="3" t="s">
        <v>864</v>
      </c>
      <c r="H326" s="3" t="s">
        <v>112</v>
      </c>
      <c r="I326" s="10">
        <v>2</v>
      </c>
    </row>
    <row r="327" spans="1:9" x14ac:dyDescent="0.25">
      <c r="A327" s="9">
        <v>499</v>
      </c>
      <c r="B327" s="3" t="s">
        <v>324</v>
      </c>
      <c r="C327" s="3">
        <v>40</v>
      </c>
      <c r="D327" s="3" t="s">
        <v>48</v>
      </c>
      <c r="E327" s="3" t="s">
        <v>60</v>
      </c>
      <c r="F327" s="3" t="s">
        <v>865</v>
      </c>
      <c r="G327" s="3" t="s">
        <v>866</v>
      </c>
      <c r="H327" s="3" t="s">
        <v>333</v>
      </c>
      <c r="I327" s="10">
        <v>3.8</v>
      </c>
    </row>
    <row r="328" spans="1:9" x14ac:dyDescent="0.25">
      <c r="A328" s="9">
        <v>118</v>
      </c>
      <c r="B328" s="3" t="s">
        <v>813</v>
      </c>
      <c r="C328" s="3">
        <v>20</v>
      </c>
      <c r="D328" s="3" t="s">
        <v>54</v>
      </c>
      <c r="E328" s="3" t="s">
        <v>23</v>
      </c>
      <c r="F328" s="3" t="s">
        <v>867</v>
      </c>
      <c r="G328" s="3" t="s">
        <v>868</v>
      </c>
      <c r="H328" s="3" t="s">
        <v>169</v>
      </c>
      <c r="I328" s="10">
        <v>4.0999999999999996</v>
      </c>
    </row>
    <row r="329" spans="1:9" x14ac:dyDescent="0.25">
      <c r="A329" s="9">
        <v>289</v>
      </c>
      <c r="B329" s="3" t="s">
        <v>869</v>
      </c>
      <c r="C329" s="3">
        <v>39</v>
      </c>
      <c r="D329" s="3" t="s">
        <v>59</v>
      </c>
      <c r="E329" s="3" t="s">
        <v>29</v>
      </c>
      <c r="F329" s="3" t="s">
        <v>870</v>
      </c>
      <c r="G329" s="3" t="s">
        <v>871</v>
      </c>
      <c r="H329" s="3" t="s">
        <v>20</v>
      </c>
      <c r="I329" s="10">
        <v>1.9</v>
      </c>
    </row>
    <row r="330" spans="1:9" x14ac:dyDescent="0.25">
      <c r="A330" s="9">
        <v>78</v>
      </c>
      <c r="B330" s="3" t="s">
        <v>872</v>
      </c>
      <c r="C330" s="3">
        <v>58</v>
      </c>
      <c r="D330" s="3" t="s">
        <v>39</v>
      </c>
      <c r="E330" s="3" t="s">
        <v>40</v>
      </c>
      <c r="F330" s="3" t="s">
        <v>873</v>
      </c>
      <c r="G330" s="3" t="s">
        <v>874</v>
      </c>
      <c r="H330" s="3" t="s">
        <v>242</v>
      </c>
      <c r="I330" s="10">
        <v>1.1000000000000001</v>
      </c>
    </row>
    <row r="331" spans="1:9" x14ac:dyDescent="0.25">
      <c r="A331" s="9">
        <v>402</v>
      </c>
      <c r="B331" s="3" t="s">
        <v>875</v>
      </c>
      <c r="C331" s="3">
        <v>42</v>
      </c>
      <c r="D331" s="3" t="s">
        <v>22</v>
      </c>
      <c r="E331" s="3" t="s">
        <v>72</v>
      </c>
      <c r="F331" s="3" t="s">
        <v>876</v>
      </c>
      <c r="G331" s="3" t="s">
        <v>877</v>
      </c>
      <c r="H331" s="3" t="s">
        <v>356</v>
      </c>
      <c r="I331" s="10">
        <v>1.1000000000000001</v>
      </c>
    </row>
    <row r="332" spans="1:9" x14ac:dyDescent="0.25">
      <c r="A332" s="9">
        <v>64</v>
      </c>
      <c r="B332" s="3" t="s">
        <v>878</v>
      </c>
      <c r="C332" s="3">
        <v>53</v>
      </c>
      <c r="D332" s="3" t="s">
        <v>59</v>
      </c>
      <c r="E332" s="3" t="s">
        <v>34</v>
      </c>
      <c r="F332" s="3" t="s">
        <v>879</v>
      </c>
      <c r="G332" s="3" t="s">
        <v>880</v>
      </c>
      <c r="H332" s="3" t="s">
        <v>333</v>
      </c>
      <c r="I332" s="10">
        <v>2.6</v>
      </c>
    </row>
    <row r="333" spans="1:9" x14ac:dyDescent="0.25">
      <c r="A333" s="9">
        <v>459</v>
      </c>
      <c r="B333" s="3" t="s">
        <v>324</v>
      </c>
      <c r="C333" s="3">
        <v>20</v>
      </c>
      <c r="D333" s="3" t="s">
        <v>28</v>
      </c>
      <c r="E333" s="3" t="s">
        <v>40</v>
      </c>
      <c r="F333" s="3" t="s">
        <v>881</v>
      </c>
      <c r="G333" s="3" t="s">
        <v>882</v>
      </c>
      <c r="H333" s="3" t="s">
        <v>52</v>
      </c>
      <c r="I333" s="10">
        <v>3.3</v>
      </c>
    </row>
    <row r="334" spans="1:9" x14ac:dyDescent="0.25">
      <c r="A334" s="9">
        <v>397</v>
      </c>
      <c r="B334" s="3" t="s">
        <v>182</v>
      </c>
      <c r="C334" s="3">
        <v>29</v>
      </c>
      <c r="D334" s="3" t="s">
        <v>59</v>
      </c>
      <c r="E334" s="3" t="s">
        <v>351</v>
      </c>
      <c r="F334" s="3" t="s">
        <v>883</v>
      </c>
      <c r="G334" s="3" t="s">
        <v>884</v>
      </c>
      <c r="H334" s="3" t="s">
        <v>75</v>
      </c>
      <c r="I334" s="10">
        <v>4.9000000000000004</v>
      </c>
    </row>
    <row r="335" spans="1:9" x14ac:dyDescent="0.25">
      <c r="A335" s="9">
        <v>231</v>
      </c>
      <c r="B335" s="3" t="s">
        <v>885</v>
      </c>
      <c r="C335" s="3">
        <v>28</v>
      </c>
      <c r="D335" s="3" t="s">
        <v>22</v>
      </c>
      <c r="E335" s="3" t="s">
        <v>55</v>
      </c>
      <c r="F335" s="3" t="s">
        <v>886</v>
      </c>
      <c r="G335" s="3" t="s">
        <v>887</v>
      </c>
      <c r="H335" s="3" t="s">
        <v>52</v>
      </c>
      <c r="I335" s="10">
        <v>3.4</v>
      </c>
    </row>
    <row r="336" spans="1:9" x14ac:dyDescent="0.25">
      <c r="A336" s="9">
        <v>298</v>
      </c>
      <c r="B336" s="3" t="s">
        <v>102</v>
      </c>
      <c r="C336" s="3">
        <v>47</v>
      </c>
      <c r="D336" s="3" t="s">
        <v>48</v>
      </c>
      <c r="E336" s="3" t="s">
        <v>95</v>
      </c>
      <c r="F336" s="3" t="s">
        <v>888</v>
      </c>
      <c r="G336" s="3" t="s">
        <v>889</v>
      </c>
      <c r="H336" s="3" t="s">
        <v>46</v>
      </c>
      <c r="I336" s="10">
        <v>4.0999999999999996</v>
      </c>
    </row>
    <row r="337" spans="1:9" x14ac:dyDescent="0.25">
      <c r="A337" s="9">
        <v>187</v>
      </c>
      <c r="B337" s="3" t="s">
        <v>890</v>
      </c>
      <c r="C337" s="3">
        <v>40</v>
      </c>
      <c r="D337" s="3" t="s">
        <v>39</v>
      </c>
      <c r="E337" s="3" t="s">
        <v>106</v>
      </c>
      <c r="F337" s="3" t="s">
        <v>891</v>
      </c>
      <c r="G337" s="3" t="s">
        <v>892</v>
      </c>
      <c r="H337" s="3" t="s">
        <v>79</v>
      </c>
      <c r="I337" s="10">
        <v>2.7</v>
      </c>
    </row>
    <row r="338" spans="1:9" x14ac:dyDescent="0.25">
      <c r="A338" s="9">
        <v>120</v>
      </c>
      <c r="B338" s="3" t="s">
        <v>893</v>
      </c>
      <c r="C338" s="3">
        <v>22</v>
      </c>
      <c r="D338" s="3" t="s">
        <v>39</v>
      </c>
      <c r="E338" s="3" t="s">
        <v>60</v>
      </c>
      <c r="F338" s="3" t="s">
        <v>894</v>
      </c>
      <c r="G338" s="3" t="s">
        <v>895</v>
      </c>
      <c r="H338" s="3" t="s">
        <v>46</v>
      </c>
      <c r="I338" s="10">
        <v>4.5</v>
      </c>
    </row>
    <row r="339" spans="1:9" x14ac:dyDescent="0.25">
      <c r="A339" s="9">
        <v>200</v>
      </c>
      <c r="B339" s="3" t="s">
        <v>806</v>
      </c>
      <c r="C339" s="3">
        <v>34</v>
      </c>
      <c r="D339" s="3" t="s">
        <v>39</v>
      </c>
      <c r="E339" s="3" t="s">
        <v>106</v>
      </c>
      <c r="F339" s="3" t="s">
        <v>896</v>
      </c>
      <c r="G339" s="3" t="s">
        <v>897</v>
      </c>
      <c r="H339" s="3" t="s">
        <v>46</v>
      </c>
      <c r="I339" s="10">
        <v>1.7</v>
      </c>
    </row>
    <row r="340" spans="1:9" x14ac:dyDescent="0.25">
      <c r="A340" s="9">
        <v>351</v>
      </c>
      <c r="B340" s="3" t="s">
        <v>898</v>
      </c>
      <c r="C340" s="3">
        <v>24</v>
      </c>
      <c r="D340" s="3" t="s">
        <v>48</v>
      </c>
      <c r="E340" s="3" t="s">
        <v>144</v>
      </c>
      <c r="F340" s="3" t="s">
        <v>899</v>
      </c>
      <c r="G340" s="3" t="s">
        <v>900</v>
      </c>
      <c r="H340" s="3" t="s">
        <v>142</v>
      </c>
      <c r="I340" s="10">
        <v>4.3</v>
      </c>
    </row>
    <row r="341" spans="1:9" x14ac:dyDescent="0.25">
      <c r="A341" s="9">
        <v>122</v>
      </c>
      <c r="B341" s="3" t="s">
        <v>438</v>
      </c>
      <c r="C341" s="3">
        <v>31</v>
      </c>
      <c r="D341" s="3" t="s">
        <v>10</v>
      </c>
      <c r="E341" s="3" t="s">
        <v>386</v>
      </c>
      <c r="F341" s="3" t="s">
        <v>901</v>
      </c>
      <c r="G341" s="3" t="s">
        <v>902</v>
      </c>
      <c r="H341" s="3" t="s">
        <v>37</v>
      </c>
      <c r="I341" s="10">
        <v>4.5999999999999996</v>
      </c>
    </row>
    <row r="342" spans="1:9" x14ac:dyDescent="0.25">
      <c r="A342" s="9">
        <v>479</v>
      </c>
      <c r="B342" s="3" t="s">
        <v>292</v>
      </c>
      <c r="C342" s="3">
        <v>58</v>
      </c>
      <c r="D342" s="3" t="s">
        <v>39</v>
      </c>
      <c r="E342" s="3" t="s">
        <v>49</v>
      </c>
      <c r="F342" s="3" t="s">
        <v>903</v>
      </c>
      <c r="G342" s="3" t="s">
        <v>904</v>
      </c>
      <c r="H342" s="3" t="s">
        <v>219</v>
      </c>
      <c r="I342" s="10">
        <v>3</v>
      </c>
    </row>
    <row r="343" spans="1:9" x14ac:dyDescent="0.25">
      <c r="A343" s="9">
        <v>443</v>
      </c>
      <c r="B343" s="3" t="s">
        <v>905</v>
      </c>
      <c r="C343" s="3">
        <v>21</v>
      </c>
      <c r="D343" s="3" t="s">
        <v>39</v>
      </c>
      <c r="E343" s="3" t="s">
        <v>55</v>
      </c>
      <c r="F343" s="3" t="s">
        <v>273</v>
      </c>
      <c r="G343" s="3" t="s">
        <v>906</v>
      </c>
      <c r="H343" s="3" t="s">
        <v>156</v>
      </c>
      <c r="I343" s="10">
        <v>4.4000000000000004</v>
      </c>
    </row>
    <row r="344" spans="1:9" x14ac:dyDescent="0.25">
      <c r="A344" s="9">
        <v>308</v>
      </c>
      <c r="B344" s="3" t="s">
        <v>594</v>
      </c>
      <c r="C344" s="3">
        <v>47</v>
      </c>
      <c r="D344" s="3" t="s">
        <v>54</v>
      </c>
      <c r="E344" s="3" t="s">
        <v>106</v>
      </c>
      <c r="F344" s="3" t="s">
        <v>907</v>
      </c>
      <c r="G344" s="3" t="s">
        <v>908</v>
      </c>
      <c r="H344" s="3" t="s">
        <v>67</v>
      </c>
      <c r="I344" s="10">
        <v>3.8</v>
      </c>
    </row>
    <row r="345" spans="1:9" x14ac:dyDescent="0.25">
      <c r="A345" s="9">
        <v>472</v>
      </c>
      <c r="B345" s="3" t="s">
        <v>9</v>
      </c>
      <c r="C345" s="3">
        <v>43</v>
      </c>
      <c r="D345" s="3" t="s">
        <v>48</v>
      </c>
      <c r="E345" s="3" t="s">
        <v>49</v>
      </c>
      <c r="F345" s="3" t="s">
        <v>909</v>
      </c>
      <c r="G345" s="3" t="s">
        <v>910</v>
      </c>
      <c r="H345" s="3" t="s">
        <v>115</v>
      </c>
      <c r="I345" s="10">
        <v>4.0999999999999996</v>
      </c>
    </row>
    <row r="346" spans="1:9" x14ac:dyDescent="0.25">
      <c r="A346" s="9">
        <v>159</v>
      </c>
      <c r="B346" s="3" t="s">
        <v>764</v>
      </c>
      <c r="C346" s="3">
        <v>18</v>
      </c>
      <c r="D346" s="3" t="s">
        <v>54</v>
      </c>
      <c r="E346" s="3" t="s">
        <v>72</v>
      </c>
      <c r="F346" s="3" t="s">
        <v>911</v>
      </c>
      <c r="G346" s="3" t="s">
        <v>912</v>
      </c>
      <c r="H346" s="3" t="s">
        <v>219</v>
      </c>
      <c r="I346" s="10"/>
    </row>
    <row r="347" spans="1:9" x14ac:dyDescent="0.25">
      <c r="A347" s="9">
        <v>86</v>
      </c>
      <c r="B347" s="3" t="s">
        <v>757</v>
      </c>
      <c r="C347" s="3">
        <v>18</v>
      </c>
      <c r="D347" s="3" t="s">
        <v>22</v>
      </c>
      <c r="E347" s="3" t="s">
        <v>17</v>
      </c>
      <c r="F347" s="3" t="s">
        <v>913</v>
      </c>
      <c r="G347" s="3" t="s">
        <v>914</v>
      </c>
      <c r="H347" s="3" t="s">
        <v>46</v>
      </c>
      <c r="I347" s="10"/>
    </row>
    <row r="348" spans="1:9" x14ac:dyDescent="0.25">
      <c r="A348" s="9">
        <v>226</v>
      </c>
      <c r="B348" s="3" t="s">
        <v>429</v>
      </c>
      <c r="C348" s="3">
        <v>57</v>
      </c>
      <c r="D348" s="3" t="s">
        <v>59</v>
      </c>
      <c r="E348" s="3" t="s">
        <v>88</v>
      </c>
      <c r="F348" s="3" t="s">
        <v>915</v>
      </c>
      <c r="G348" s="3" t="s">
        <v>916</v>
      </c>
      <c r="H348" s="3" t="s">
        <v>75</v>
      </c>
      <c r="I348" s="10">
        <v>4.4000000000000004</v>
      </c>
    </row>
    <row r="349" spans="1:9" x14ac:dyDescent="0.25">
      <c r="A349" s="9">
        <v>263</v>
      </c>
      <c r="B349" s="3" t="s">
        <v>917</v>
      </c>
      <c r="C349" s="3">
        <v>37</v>
      </c>
      <c r="D349" s="3" t="s">
        <v>39</v>
      </c>
      <c r="E349" s="3" t="s">
        <v>193</v>
      </c>
      <c r="F349" s="3" t="s">
        <v>918</v>
      </c>
      <c r="G349" s="3" t="s">
        <v>919</v>
      </c>
      <c r="H349" s="3" t="s">
        <v>219</v>
      </c>
      <c r="I349" s="10">
        <v>2.7</v>
      </c>
    </row>
    <row r="350" spans="1:9" x14ac:dyDescent="0.25">
      <c r="A350" s="9">
        <v>332</v>
      </c>
      <c r="B350" s="3" t="s">
        <v>153</v>
      </c>
      <c r="C350" s="3">
        <v>39</v>
      </c>
      <c r="D350" s="3" t="s">
        <v>10</v>
      </c>
      <c r="E350" s="3" t="s">
        <v>144</v>
      </c>
      <c r="F350" s="3" t="s">
        <v>920</v>
      </c>
      <c r="G350" s="3" t="s">
        <v>921</v>
      </c>
      <c r="H350" s="3" t="s">
        <v>219</v>
      </c>
      <c r="I350" s="10">
        <v>1.3</v>
      </c>
    </row>
    <row r="351" spans="1:9" x14ac:dyDescent="0.25">
      <c r="A351" s="9">
        <v>411</v>
      </c>
      <c r="B351" s="3" t="s">
        <v>739</v>
      </c>
      <c r="C351" s="3">
        <v>29</v>
      </c>
      <c r="D351" s="3" t="s">
        <v>16</v>
      </c>
      <c r="E351" s="3" t="s">
        <v>29</v>
      </c>
      <c r="F351" s="3" t="s">
        <v>855</v>
      </c>
      <c r="G351" s="3" t="s">
        <v>922</v>
      </c>
      <c r="H351" s="3" t="s">
        <v>26</v>
      </c>
      <c r="I351" s="10">
        <v>2.8</v>
      </c>
    </row>
    <row r="352" spans="1:9" x14ac:dyDescent="0.25">
      <c r="A352" s="9">
        <v>77</v>
      </c>
      <c r="B352" s="3" t="s">
        <v>923</v>
      </c>
      <c r="C352" s="3">
        <v>42</v>
      </c>
      <c r="D352" s="3" t="s">
        <v>22</v>
      </c>
      <c r="E352" s="3" t="s">
        <v>193</v>
      </c>
      <c r="F352" s="3" t="s">
        <v>924</v>
      </c>
      <c r="G352" s="3" t="s">
        <v>925</v>
      </c>
      <c r="H352" s="3" t="s">
        <v>242</v>
      </c>
      <c r="I352" s="10">
        <v>3.6</v>
      </c>
    </row>
    <row r="353" spans="1:9" x14ac:dyDescent="0.25">
      <c r="A353" s="9">
        <v>398</v>
      </c>
      <c r="B353" s="3" t="s">
        <v>43</v>
      </c>
      <c r="C353" s="3">
        <v>18</v>
      </c>
      <c r="D353" s="3" t="s">
        <v>48</v>
      </c>
      <c r="E353" s="3" t="s">
        <v>106</v>
      </c>
      <c r="F353" s="3" t="s">
        <v>926</v>
      </c>
      <c r="G353" s="3" t="s">
        <v>805</v>
      </c>
      <c r="H353" s="3" t="s">
        <v>169</v>
      </c>
      <c r="I353" s="10">
        <v>4</v>
      </c>
    </row>
    <row r="354" spans="1:9" x14ac:dyDescent="0.25">
      <c r="A354" s="9">
        <v>383</v>
      </c>
      <c r="B354" s="3" t="s">
        <v>714</v>
      </c>
      <c r="C354" s="3">
        <v>57</v>
      </c>
      <c r="D354" s="3" t="s">
        <v>54</v>
      </c>
      <c r="E354" s="3" t="s">
        <v>204</v>
      </c>
      <c r="F354" s="3" t="s">
        <v>927</v>
      </c>
      <c r="G354" s="3" t="s">
        <v>928</v>
      </c>
      <c r="H354" s="3" t="s">
        <v>32</v>
      </c>
      <c r="I354" s="10">
        <v>4.7</v>
      </c>
    </row>
    <row r="355" spans="1:9" x14ac:dyDescent="0.25">
      <c r="A355" s="9">
        <v>88</v>
      </c>
      <c r="B355" s="3" t="s">
        <v>337</v>
      </c>
      <c r="C355" s="3">
        <v>41</v>
      </c>
      <c r="D355" s="3" t="s">
        <v>48</v>
      </c>
      <c r="E355" s="3" t="s">
        <v>49</v>
      </c>
      <c r="F355" s="3" t="s">
        <v>929</v>
      </c>
      <c r="G355" s="3" t="s">
        <v>930</v>
      </c>
      <c r="H355" s="3" t="s">
        <v>268</v>
      </c>
      <c r="I355" s="10">
        <v>1.4</v>
      </c>
    </row>
    <row r="356" spans="1:9" x14ac:dyDescent="0.25">
      <c r="A356" s="9">
        <v>306</v>
      </c>
      <c r="B356" s="3" t="s">
        <v>58</v>
      </c>
      <c r="C356" s="3">
        <v>34</v>
      </c>
      <c r="D356" s="3" t="s">
        <v>22</v>
      </c>
      <c r="E356" s="3" t="s">
        <v>60</v>
      </c>
      <c r="F356" s="3" t="s">
        <v>931</v>
      </c>
      <c r="G356" s="3" t="s">
        <v>309</v>
      </c>
      <c r="H356" s="3" t="s">
        <v>46</v>
      </c>
      <c r="I356" s="10">
        <v>2.6</v>
      </c>
    </row>
    <row r="357" spans="1:9" x14ac:dyDescent="0.25">
      <c r="A357" s="9">
        <v>183</v>
      </c>
      <c r="B357" s="3" t="s">
        <v>80</v>
      </c>
      <c r="C357" s="3">
        <v>34</v>
      </c>
      <c r="D357" s="3" t="s">
        <v>59</v>
      </c>
      <c r="E357" s="3" t="s">
        <v>49</v>
      </c>
      <c r="F357" s="3" t="s">
        <v>932</v>
      </c>
      <c r="G357" s="3" t="s">
        <v>933</v>
      </c>
      <c r="H357" s="3" t="s">
        <v>32</v>
      </c>
      <c r="I357" s="10">
        <v>1.3</v>
      </c>
    </row>
    <row r="358" spans="1:9" x14ac:dyDescent="0.25">
      <c r="A358" s="9">
        <v>106</v>
      </c>
      <c r="B358" s="3" t="s">
        <v>109</v>
      </c>
      <c r="C358" s="3">
        <v>40</v>
      </c>
      <c r="D358" s="3" t="s">
        <v>16</v>
      </c>
      <c r="E358" s="3" t="s">
        <v>351</v>
      </c>
      <c r="F358" s="3" t="s">
        <v>934</v>
      </c>
      <c r="G358" s="3"/>
      <c r="H358" s="3" t="s">
        <v>67</v>
      </c>
      <c r="I358" s="10">
        <v>4.3</v>
      </c>
    </row>
    <row r="359" spans="1:9" x14ac:dyDescent="0.25">
      <c r="A359" s="9">
        <v>409</v>
      </c>
      <c r="B359" s="3" t="s">
        <v>343</v>
      </c>
      <c r="C359" s="3">
        <v>46</v>
      </c>
      <c r="D359" s="3" t="s">
        <v>10</v>
      </c>
      <c r="E359" s="3" t="s">
        <v>200</v>
      </c>
      <c r="F359" s="3" t="s">
        <v>935</v>
      </c>
      <c r="G359" s="3" t="s">
        <v>936</v>
      </c>
      <c r="H359" s="3" t="s">
        <v>75</v>
      </c>
      <c r="I359" s="10">
        <v>5</v>
      </c>
    </row>
    <row r="360" spans="1:9" x14ac:dyDescent="0.25">
      <c r="A360" s="9">
        <v>50</v>
      </c>
      <c r="B360" s="3" t="s">
        <v>937</v>
      </c>
      <c r="C360" s="3">
        <v>31</v>
      </c>
      <c r="D360" s="3" t="s">
        <v>22</v>
      </c>
      <c r="E360" s="3" t="s">
        <v>200</v>
      </c>
      <c r="F360" s="3" t="s">
        <v>938</v>
      </c>
      <c r="G360" s="3" t="s">
        <v>939</v>
      </c>
      <c r="H360" s="3" t="s">
        <v>115</v>
      </c>
      <c r="I360" s="10">
        <v>1.3</v>
      </c>
    </row>
    <row r="361" spans="1:9" x14ac:dyDescent="0.25">
      <c r="A361" s="9">
        <v>390</v>
      </c>
      <c r="B361" s="3" t="s">
        <v>176</v>
      </c>
      <c r="C361" s="3">
        <v>36</v>
      </c>
      <c r="D361" s="3" t="s">
        <v>48</v>
      </c>
      <c r="E361" s="3" t="s">
        <v>255</v>
      </c>
      <c r="F361" s="3" t="s">
        <v>940</v>
      </c>
      <c r="G361" s="3" t="s">
        <v>941</v>
      </c>
      <c r="H361" s="3" t="s">
        <v>169</v>
      </c>
      <c r="I361" s="10">
        <v>1.3</v>
      </c>
    </row>
    <row r="362" spans="1:9" x14ac:dyDescent="0.25">
      <c r="A362" s="9">
        <v>6</v>
      </c>
      <c r="B362" s="3" t="s">
        <v>43</v>
      </c>
      <c r="C362" s="3">
        <v>56</v>
      </c>
      <c r="D362" s="3" t="s">
        <v>59</v>
      </c>
      <c r="E362" s="3" t="s">
        <v>124</v>
      </c>
      <c r="F362" s="3" t="s">
        <v>942</v>
      </c>
      <c r="G362" s="3" t="s">
        <v>943</v>
      </c>
      <c r="H362" s="3" t="s">
        <v>75</v>
      </c>
      <c r="I362" s="10">
        <v>4.7</v>
      </c>
    </row>
    <row r="363" spans="1:9" x14ac:dyDescent="0.25">
      <c r="A363" s="9">
        <v>18</v>
      </c>
      <c r="B363" s="3" t="s">
        <v>944</v>
      </c>
      <c r="C363" s="3">
        <v>41</v>
      </c>
      <c r="D363" s="3" t="s">
        <v>59</v>
      </c>
      <c r="E363" s="3" t="s">
        <v>239</v>
      </c>
      <c r="F363" s="3" t="s">
        <v>945</v>
      </c>
      <c r="G363" s="3" t="s">
        <v>946</v>
      </c>
      <c r="H363" s="3" t="s">
        <v>169</v>
      </c>
      <c r="I363" s="10">
        <v>1.2</v>
      </c>
    </row>
    <row r="364" spans="1:9" x14ac:dyDescent="0.25">
      <c r="A364" s="9">
        <v>235</v>
      </c>
      <c r="B364" s="3" t="s">
        <v>947</v>
      </c>
      <c r="C364" s="3">
        <v>48</v>
      </c>
      <c r="D364" s="3" t="s">
        <v>59</v>
      </c>
      <c r="E364" s="3" t="s">
        <v>204</v>
      </c>
      <c r="F364" s="3" t="s">
        <v>948</v>
      </c>
      <c r="G364" s="3" t="s">
        <v>949</v>
      </c>
      <c r="H364" s="3" t="s">
        <v>219</v>
      </c>
      <c r="I364" s="10">
        <v>3.8</v>
      </c>
    </row>
    <row r="365" spans="1:9" x14ac:dyDescent="0.25">
      <c r="A365" s="9">
        <v>413</v>
      </c>
      <c r="B365" s="3" t="s">
        <v>950</v>
      </c>
      <c r="C365" s="3">
        <v>33</v>
      </c>
      <c r="D365" s="3" t="s">
        <v>39</v>
      </c>
      <c r="E365" s="3" t="s">
        <v>40</v>
      </c>
      <c r="F365" s="3" t="s">
        <v>161</v>
      </c>
      <c r="G365" s="3" t="s">
        <v>951</v>
      </c>
      <c r="H365" s="3" t="s">
        <v>46</v>
      </c>
      <c r="I365" s="10">
        <v>4.2</v>
      </c>
    </row>
    <row r="366" spans="1:9" x14ac:dyDescent="0.25">
      <c r="A366" s="9">
        <v>407</v>
      </c>
      <c r="B366" s="3" t="s">
        <v>58</v>
      </c>
      <c r="C366" s="3">
        <v>22</v>
      </c>
      <c r="D366" s="3" t="s">
        <v>39</v>
      </c>
      <c r="E366" s="3" t="s">
        <v>193</v>
      </c>
      <c r="F366" s="3" t="s">
        <v>952</v>
      </c>
      <c r="G366" s="3" t="s">
        <v>953</v>
      </c>
      <c r="H366" s="3" t="s">
        <v>32</v>
      </c>
      <c r="I366" s="10">
        <v>2.8</v>
      </c>
    </row>
    <row r="367" spans="1:9" x14ac:dyDescent="0.25">
      <c r="A367" s="9">
        <v>107</v>
      </c>
      <c r="B367" s="3" t="s">
        <v>289</v>
      </c>
      <c r="C367" s="3">
        <v>41</v>
      </c>
      <c r="D367" s="3" t="s">
        <v>10</v>
      </c>
      <c r="E367" s="3" t="s">
        <v>106</v>
      </c>
      <c r="F367" s="3" t="s">
        <v>954</v>
      </c>
      <c r="G367" s="3" t="s">
        <v>955</v>
      </c>
      <c r="H367" s="3" t="s">
        <v>101</v>
      </c>
      <c r="I367" s="10">
        <v>2.4</v>
      </c>
    </row>
    <row r="368" spans="1:9" x14ac:dyDescent="0.25">
      <c r="A368" s="9">
        <v>135</v>
      </c>
      <c r="B368" s="3" t="s">
        <v>382</v>
      </c>
      <c r="C368" s="3">
        <v>47</v>
      </c>
      <c r="D368" s="3" t="s">
        <v>54</v>
      </c>
      <c r="E368" s="3" t="s">
        <v>193</v>
      </c>
      <c r="F368" s="3" t="s">
        <v>956</v>
      </c>
      <c r="G368" s="3" t="s">
        <v>957</v>
      </c>
      <c r="H368" s="3" t="s">
        <v>268</v>
      </c>
      <c r="I368" s="10">
        <v>2.1</v>
      </c>
    </row>
    <row r="369" spans="1:9" x14ac:dyDescent="0.25">
      <c r="A369" s="9">
        <v>414</v>
      </c>
      <c r="B369" s="3" t="s">
        <v>958</v>
      </c>
      <c r="C369" s="3">
        <v>54</v>
      </c>
      <c r="D369" s="3" t="s">
        <v>59</v>
      </c>
      <c r="E369" s="3" t="s">
        <v>144</v>
      </c>
      <c r="F369" s="3" t="s">
        <v>959</v>
      </c>
      <c r="G369" s="3" t="s">
        <v>960</v>
      </c>
      <c r="H369" s="3" t="s">
        <v>75</v>
      </c>
      <c r="I369" s="10">
        <v>3.8</v>
      </c>
    </row>
    <row r="370" spans="1:9" x14ac:dyDescent="0.25">
      <c r="A370" s="9">
        <v>227</v>
      </c>
      <c r="B370" s="3" t="s">
        <v>961</v>
      </c>
      <c r="C370" s="3">
        <v>56</v>
      </c>
      <c r="D370" s="3" t="s">
        <v>28</v>
      </c>
      <c r="E370" s="3" t="s">
        <v>386</v>
      </c>
      <c r="F370" s="3" t="s">
        <v>962</v>
      </c>
      <c r="G370" s="3" t="s">
        <v>963</v>
      </c>
      <c r="H370" s="3" t="s">
        <v>26</v>
      </c>
      <c r="I370" s="10">
        <v>4.4000000000000004</v>
      </c>
    </row>
    <row r="371" spans="1:9" x14ac:dyDescent="0.25">
      <c r="A371" s="9">
        <v>215</v>
      </c>
      <c r="B371" s="3" t="s">
        <v>964</v>
      </c>
      <c r="C371" s="3">
        <v>37</v>
      </c>
      <c r="D371" s="3" t="s">
        <v>59</v>
      </c>
      <c r="E371" s="3" t="s">
        <v>255</v>
      </c>
      <c r="F371" s="3" t="s">
        <v>965</v>
      </c>
      <c r="G371" s="3" t="s">
        <v>966</v>
      </c>
      <c r="H371" s="3" t="s">
        <v>136</v>
      </c>
      <c r="I371" s="10">
        <v>4.7</v>
      </c>
    </row>
    <row r="372" spans="1:9" x14ac:dyDescent="0.25">
      <c r="A372" s="9">
        <v>191</v>
      </c>
      <c r="B372" s="3" t="s">
        <v>330</v>
      </c>
      <c r="C372" s="3">
        <v>18</v>
      </c>
      <c r="D372" s="3" t="s">
        <v>39</v>
      </c>
      <c r="E372" s="3" t="s">
        <v>40</v>
      </c>
      <c r="F372" s="3" t="s">
        <v>967</v>
      </c>
      <c r="G372" s="3" t="s">
        <v>968</v>
      </c>
      <c r="H372" s="3" t="s">
        <v>46</v>
      </c>
      <c r="I372" s="10"/>
    </row>
    <row r="373" spans="1:9" x14ac:dyDescent="0.25">
      <c r="A373" s="9">
        <v>453</v>
      </c>
      <c r="B373" s="3" t="s">
        <v>969</v>
      </c>
      <c r="C373" s="3">
        <v>29</v>
      </c>
      <c r="D373" s="3" t="s">
        <v>59</v>
      </c>
      <c r="E373" s="3" t="s">
        <v>351</v>
      </c>
      <c r="F373" s="3" t="s">
        <v>970</v>
      </c>
      <c r="G373" s="3" t="s">
        <v>971</v>
      </c>
      <c r="H373" s="3" t="s">
        <v>356</v>
      </c>
      <c r="I373" s="10">
        <v>1.5</v>
      </c>
    </row>
    <row r="374" spans="1:9" x14ac:dyDescent="0.25">
      <c r="A374" s="9">
        <v>321</v>
      </c>
      <c r="B374" s="3" t="s">
        <v>330</v>
      </c>
      <c r="C374" s="3">
        <v>40</v>
      </c>
      <c r="D374" s="3" t="s">
        <v>16</v>
      </c>
      <c r="E374" s="3" t="s">
        <v>81</v>
      </c>
      <c r="F374" s="3" t="s">
        <v>972</v>
      </c>
      <c r="G374" s="3" t="s">
        <v>973</v>
      </c>
      <c r="H374" s="3" t="s">
        <v>219</v>
      </c>
      <c r="I374" s="10">
        <v>4.8</v>
      </c>
    </row>
    <row r="375" spans="1:9" x14ac:dyDescent="0.25">
      <c r="A375" s="9">
        <v>283</v>
      </c>
      <c r="B375" s="3" t="s">
        <v>403</v>
      </c>
      <c r="C375" s="3">
        <v>24</v>
      </c>
      <c r="D375" s="3" t="s">
        <v>10</v>
      </c>
      <c r="E375" s="3" t="s">
        <v>200</v>
      </c>
      <c r="F375" s="3" t="s">
        <v>974</v>
      </c>
      <c r="G375" s="3" t="s">
        <v>975</v>
      </c>
      <c r="H375" s="3" t="s">
        <v>46</v>
      </c>
      <c r="I375" s="10">
        <v>4.5</v>
      </c>
    </row>
    <row r="376" spans="1:9" x14ac:dyDescent="0.25">
      <c r="A376" s="9">
        <v>30</v>
      </c>
      <c r="B376" s="3" t="s">
        <v>477</v>
      </c>
      <c r="C376" s="3">
        <v>33</v>
      </c>
      <c r="D376" s="3" t="s">
        <v>22</v>
      </c>
      <c r="E376" s="3" t="s">
        <v>60</v>
      </c>
      <c r="F376" s="3" t="s">
        <v>976</v>
      </c>
      <c r="G376" s="3" t="s">
        <v>977</v>
      </c>
      <c r="H376" s="3" t="s">
        <v>219</v>
      </c>
      <c r="I376" s="10">
        <v>1.9</v>
      </c>
    </row>
    <row r="377" spans="1:9" x14ac:dyDescent="0.25">
      <c r="A377" s="9">
        <v>170</v>
      </c>
      <c r="B377" s="3" t="s">
        <v>978</v>
      </c>
      <c r="C377" s="3">
        <v>50</v>
      </c>
      <c r="D377" s="3" t="s">
        <v>39</v>
      </c>
      <c r="E377" s="3" t="s">
        <v>72</v>
      </c>
      <c r="F377" s="3" t="s">
        <v>979</v>
      </c>
      <c r="G377" s="3" t="s">
        <v>980</v>
      </c>
      <c r="H377" s="3" t="s">
        <v>37</v>
      </c>
      <c r="I377" s="10">
        <v>3.7</v>
      </c>
    </row>
    <row r="378" spans="1:9" x14ac:dyDescent="0.25">
      <c r="A378" s="9">
        <v>181</v>
      </c>
      <c r="B378" s="3" t="s">
        <v>382</v>
      </c>
      <c r="C378" s="3">
        <v>20</v>
      </c>
      <c r="D378" s="3" t="s">
        <v>10</v>
      </c>
      <c r="E378" s="3" t="s">
        <v>72</v>
      </c>
      <c r="F378" s="3" t="s">
        <v>981</v>
      </c>
      <c r="G378" s="3" t="s">
        <v>982</v>
      </c>
      <c r="H378" s="3" t="s">
        <v>14</v>
      </c>
      <c r="I378" s="10">
        <v>4.0999999999999996</v>
      </c>
    </row>
    <row r="379" spans="1:9" x14ac:dyDescent="0.25">
      <c r="A379" s="9">
        <v>101</v>
      </c>
      <c r="B379" s="3" t="s">
        <v>983</v>
      </c>
      <c r="C379" s="3">
        <v>26</v>
      </c>
      <c r="D379" s="3" t="s">
        <v>39</v>
      </c>
      <c r="E379" s="3" t="s">
        <v>81</v>
      </c>
      <c r="F379" s="3" t="s">
        <v>984</v>
      </c>
      <c r="G379" s="3" t="s">
        <v>985</v>
      </c>
      <c r="H379" s="3" t="s">
        <v>67</v>
      </c>
      <c r="I379" s="10">
        <v>1.1000000000000001</v>
      </c>
    </row>
    <row r="380" spans="1:9" x14ac:dyDescent="0.25">
      <c r="A380" s="9">
        <v>198</v>
      </c>
      <c r="B380" s="3" t="s">
        <v>986</v>
      </c>
      <c r="C380" s="3">
        <v>21</v>
      </c>
      <c r="D380" s="3" t="s">
        <v>28</v>
      </c>
      <c r="E380" s="3" t="s">
        <v>106</v>
      </c>
      <c r="F380" s="3" t="s">
        <v>987</v>
      </c>
      <c r="G380" s="3" t="s">
        <v>988</v>
      </c>
      <c r="H380" s="3" t="s">
        <v>20</v>
      </c>
      <c r="I380" s="10">
        <v>4.8</v>
      </c>
    </row>
    <row r="381" spans="1:9" x14ac:dyDescent="0.25">
      <c r="A381" s="9">
        <v>210</v>
      </c>
      <c r="B381" s="3" t="s">
        <v>113</v>
      </c>
      <c r="C381" s="3"/>
      <c r="D381" s="3" t="s">
        <v>28</v>
      </c>
      <c r="E381" s="3" t="s">
        <v>204</v>
      </c>
      <c r="F381" s="3" t="s">
        <v>989</v>
      </c>
      <c r="G381" s="3" t="s">
        <v>990</v>
      </c>
      <c r="H381" s="3" t="s">
        <v>232</v>
      </c>
      <c r="I381" s="10">
        <v>1.9</v>
      </c>
    </row>
    <row r="382" spans="1:9" x14ac:dyDescent="0.25">
      <c r="A382" s="9">
        <v>136</v>
      </c>
      <c r="B382" s="3" t="s">
        <v>742</v>
      </c>
      <c r="C382" s="3">
        <v>54</v>
      </c>
      <c r="D382" s="3" t="s">
        <v>59</v>
      </c>
      <c r="E382" s="3" t="s">
        <v>144</v>
      </c>
      <c r="F382" s="3" t="s">
        <v>991</v>
      </c>
      <c r="G382" s="3" t="s">
        <v>695</v>
      </c>
      <c r="H382" s="3" t="s">
        <v>268</v>
      </c>
      <c r="I382" s="10">
        <v>1.1000000000000001</v>
      </c>
    </row>
    <row r="383" spans="1:9" x14ac:dyDescent="0.25">
      <c r="A383" s="9">
        <v>484</v>
      </c>
      <c r="B383" s="3" t="s">
        <v>992</v>
      </c>
      <c r="C383" s="3">
        <v>53</v>
      </c>
      <c r="D383" s="3" t="s">
        <v>10</v>
      </c>
      <c r="E383" s="3" t="s">
        <v>40</v>
      </c>
      <c r="F383" s="3" t="s">
        <v>993</v>
      </c>
      <c r="G383" s="3" t="s">
        <v>994</v>
      </c>
      <c r="H383" s="3" t="s">
        <v>136</v>
      </c>
      <c r="I383" s="10">
        <v>2.2999999999999998</v>
      </c>
    </row>
    <row r="384" spans="1:9" x14ac:dyDescent="0.25">
      <c r="A384" s="9">
        <v>441</v>
      </c>
      <c r="B384" s="3" t="s">
        <v>995</v>
      </c>
      <c r="C384" s="3">
        <v>18</v>
      </c>
      <c r="D384" s="3" t="s">
        <v>22</v>
      </c>
      <c r="E384" s="3" t="s">
        <v>23</v>
      </c>
      <c r="F384" s="3" t="s">
        <v>576</v>
      </c>
      <c r="G384" s="3" t="s">
        <v>996</v>
      </c>
      <c r="H384" s="3" t="s">
        <v>46</v>
      </c>
      <c r="I384" s="10">
        <v>4.0999999999999996</v>
      </c>
    </row>
    <row r="385" spans="1:9" x14ac:dyDescent="0.25">
      <c r="A385" s="9">
        <v>199</v>
      </c>
      <c r="B385" s="3" t="s">
        <v>997</v>
      </c>
      <c r="C385" s="3">
        <v>28</v>
      </c>
      <c r="D385" s="3" t="s">
        <v>48</v>
      </c>
      <c r="E385" s="3" t="s">
        <v>200</v>
      </c>
      <c r="F385" s="3" t="s">
        <v>998</v>
      </c>
      <c r="G385" s="3" t="s">
        <v>999</v>
      </c>
      <c r="H385" s="3" t="s">
        <v>14</v>
      </c>
      <c r="I385" s="10">
        <v>2.8</v>
      </c>
    </row>
    <row r="386" spans="1:9" x14ac:dyDescent="0.25">
      <c r="A386" s="9">
        <v>374</v>
      </c>
      <c r="B386" s="3" t="s">
        <v>813</v>
      </c>
      <c r="C386" s="3">
        <v>50</v>
      </c>
      <c r="D386" s="3" t="s">
        <v>10</v>
      </c>
      <c r="E386" s="3" t="s">
        <v>200</v>
      </c>
      <c r="F386" s="3" t="s">
        <v>1000</v>
      </c>
      <c r="G386" s="3" t="s">
        <v>1001</v>
      </c>
      <c r="H386" s="3" t="s">
        <v>356</v>
      </c>
      <c r="I386" s="10">
        <v>3.5</v>
      </c>
    </row>
    <row r="387" spans="1:9" x14ac:dyDescent="0.25">
      <c r="A387" s="9">
        <v>167</v>
      </c>
      <c r="B387" s="3" t="s">
        <v>1002</v>
      </c>
      <c r="C387" s="3">
        <v>44</v>
      </c>
      <c r="D387" s="3" t="s">
        <v>10</v>
      </c>
      <c r="E387" s="3" t="s">
        <v>72</v>
      </c>
      <c r="F387" s="3" t="s">
        <v>1003</v>
      </c>
      <c r="G387" s="3" t="s">
        <v>1004</v>
      </c>
      <c r="H387" s="3" t="s">
        <v>232</v>
      </c>
      <c r="I387" s="10">
        <v>2.2000000000000002</v>
      </c>
    </row>
    <row r="388" spans="1:9" x14ac:dyDescent="0.25">
      <c r="A388" s="9">
        <v>395</v>
      </c>
      <c r="B388" s="3" t="s">
        <v>1005</v>
      </c>
      <c r="C388" s="3">
        <v>40</v>
      </c>
      <c r="D388" s="3" t="s">
        <v>48</v>
      </c>
      <c r="E388" s="3" t="s">
        <v>200</v>
      </c>
      <c r="F388" s="3" t="s">
        <v>1006</v>
      </c>
      <c r="G388" s="3" t="s">
        <v>1007</v>
      </c>
      <c r="H388" s="3" t="s">
        <v>26</v>
      </c>
      <c r="I388" s="10">
        <v>4.5</v>
      </c>
    </row>
    <row r="389" spans="1:9" x14ac:dyDescent="0.25">
      <c r="A389" s="9">
        <v>137</v>
      </c>
      <c r="B389" s="3" t="s">
        <v>1008</v>
      </c>
      <c r="C389" s="3">
        <v>40</v>
      </c>
      <c r="D389" s="3" t="s">
        <v>28</v>
      </c>
      <c r="E389" s="3" t="s">
        <v>81</v>
      </c>
      <c r="F389" s="3" t="s">
        <v>1009</v>
      </c>
      <c r="G389" s="3"/>
      <c r="H389" s="3" t="s">
        <v>219</v>
      </c>
      <c r="I389" s="10">
        <v>4.7</v>
      </c>
    </row>
    <row r="390" spans="1:9" x14ac:dyDescent="0.25">
      <c r="A390" s="9">
        <v>286</v>
      </c>
      <c r="B390" s="3" t="s">
        <v>47</v>
      </c>
      <c r="C390" s="3">
        <v>50</v>
      </c>
      <c r="D390" s="3" t="s">
        <v>39</v>
      </c>
      <c r="E390" s="3" t="s">
        <v>60</v>
      </c>
      <c r="F390" s="3" t="s">
        <v>506</v>
      </c>
      <c r="G390" s="3" t="s">
        <v>374</v>
      </c>
      <c r="H390" s="3" t="s">
        <v>142</v>
      </c>
      <c r="I390" s="10">
        <v>3.5</v>
      </c>
    </row>
    <row r="391" spans="1:9" x14ac:dyDescent="0.25">
      <c r="A391" s="9">
        <v>336</v>
      </c>
      <c r="B391" s="3" t="s">
        <v>1010</v>
      </c>
      <c r="C391" s="3">
        <v>59</v>
      </c>
      <c r="D391" s="3" t="s">
        <v>54</v>
      </c>
      <c r="E391" s="3" t="s">
        <v>351</v>
      </c>
      <c r="F391" s="3" t="s">
        <v>1011</v>
      </c>
      <c r="G391" s="3" t="s">
        <v>1012</v>
      </c>
      <c r="H391" s="3" t="s">
        <v>232</v>
      </c>
      <c r="I391" s="10">
        <v>4.4000000000000004</v>
      </c>
    </row>
    <row r="392" spans="1:9" x14ac:dyDescent="0.25">
      <c r="A392" s="9">
        <v>132</v>
      </c>
      <c r="B392" s="3" t="s">
        <v>58</v>
      </c>
      <c r="C392" s="3">
        <v>56</v>
      </c>
      <c r="D392" s="3" t="s">
        <v>54</v>
      </c>
      <c r="E392" s="3" t="s">
        <v>124</v>
      </c>
      <c r="F392" s="3" t="s">
        <v>1013</v>
      </c>
      <c r="G392" s="3" t="s">
        <v>1014</v>
      </c>
      <c r="H392" s="3" t="s">
        <v>101</v>
      </c>
      <c r="I392" s="10">
        <v>4.9000000000000004</v>
      </c>
    </row>
    <row r="393" spans="1:9" x14ac:dyDescent="0.25">
      <c r="A393" s="9">
        <v>40</v>
      </c>
      <c r="B393" s="3" t="s">
        <v>1015</v>
      </c>
      <c r="C393" s="3">
        <v>42</v>
      </c>
      <c r="D393" s="3" t="s">
        <v>39</v>
      </c>
      <c r="E393" s="3" t="s">
        <v>17</v>
      </c>
      <c r="F393" s="3" t="s">
        <v>1016</v>
      </c>
      <c r="G393" s="3" t="s">
        <v>1017</v>
      </c>
      <c r="H393" s="3" t="s">
        <v>136</v>
      </c>
      <c r="I393" s="10">
        <v>1.1000000000000001</v>
      </c>
    </row>
    <row r="394" spans="1:9" x14ac:dyDescent="0.25">
      <c r="A394" s="9">
        <v>216</v>
      </c>
      <c r="B394" s="3" t="s">
        <v>98</v>
      </c>
      <c r="C394" s="3">
        <v>53</v>
      </c>
      <c r="D394" s="3" t="s">
        <v>59</v>
      </c>
      <c r="E394" s="3" t="s">
        <v>351</v>
      </c>
      <c r="F394" s="3" t="s">
        <v>607</v>
      </c>
      <c r="G394" s="3" t="s">
        <v>470</v>
      </c>
      <c r="H394" s="3" t="s">
        <v>115</v>
      </c>
      <c r="I394" s="10">
        <v>1.7</v>
      </c>
    </row>
    <row r="395" spans="1:9" x14ac:dyDescent="0.25">
      <c r="A395" s="9">
        <v>44</v>
      </c>
      <c r="B395" s="3" t="s">
        <v>1018</v>
      </c>
      <c r="C395" s="3">
        <v>19</v>
      </c>
      <c r="D395" s="3" t="s">
        <v>39</v>
      </c>
      <c r="E395" s="3" t="s">
        <v>60</v>
      </c>
      <c r="F395" s="3" t="s">
        <v>1019</v>
      </c>
      <c r="G395" s="3" t="s">
        <v>1020</v>
      </c>
      <c r="H395" s="3" t="s">
        <v>101</v>
      </c>
      <c r="I395" s="10">
        <v>1.6</v>
      </c>
    </row>
    <row r="396" spans="1:9" x14ac:dyDescent="0.25">
      <c r="A396" s="9">
        <v>55</v>
      </c>
      <c r="B396" s="3" t="s">
        <v>1021</v>
      </c>
      <c r="C396" s="3">
        <v>19</v>
      </c>
      <c r="D396" s="3" t="s">
        <v>48</v>
      </c>
      <c r="E396" s="3" t="s">
        <v>29</v>
      </c>
      <c r="F396" s="3" t="s">
        <v>1022</v>
      </c>
      <c r="G396" s="3" t="s">
        <v>1023</v>
      </c>
      <c r="H396" s="3" t="s">
        <v>112</v>
      </c>
      <c r="I396" s="10">
        <v>1.8</v>
      </c>
    </row>
    <row r="397" spans="1:9" x14ac:dyDescent="0.25">
      <c r="A397" s="9">
        <v>488</v>
      </c>
      <c r="B397" s="3" t="s">
        <v>327</v>
      </c>
      <c r="C397" s="3">
        <v>27</v>
      </c>
      <c r="D397" s="3" t="s">
        <v>59</v>
      </c>
      <c r="E397" s="3" t="s">
        <v>351</v>
      </c>
      <c r="F397" s="3" t="s">
        <v>1024</v>
      </c>
      <c r="G397" s="3" t="s">
        <v>1025</v>
      </c>
      <c r="H397" s="3" t="s">
        <v>32</v>
      </c>
      <c r="I397" s="10">
        <v>1.1000000000000001</v>
      </c>
    </row>
    <row r="398" spans="1:9" x14ac:dyDescent="0.25">
      <c r="A398" s="9">
        <v>300</v>
      </c>
      <c r="B398" s="3" t="s">
        <v>1026</v>
      </c>
      <c r="C398" s="3">
        <v>45</v>
      </c>
      <c r="D398" s="3" t="s">
        <v>16</v>
      </c>
      <c r="E398" s="3" t="s">
        <v>55</v>
      </c>
      <c r="F398" s="3" t="s">
        <v>1027</v>
      </c>
      <c r="G398" s="3" t="s">
        <v>1028</v>
      </c>
      <c r="H398" s="3" t="s">
        <v>219</v>
      </c>
      <c r="I398" s="10">
        <v>1.2</v>
      </c>
    </row>
    <row r="399" spans="1:9" x14ac:dyDescent="0.25">
      <c r="A399" s="9">
        <v>468</v>
      </c>
      <c r="B399" s="3" t="s">
        <v>1029</v>
      </c>
      <c r="C399" s="3">
        <v>19</v>
      </c>
      <c r="D399" s="3" t="s">
        <v>10</v>
      </c>
      <c r="E399" s="3" t="s">
        <v>200</v>
      </c>
      <c r="F399" s="3" t="s">
        <v>1030</v>
      </c>
      <c r="G399" s="3" t="s">
        <v>1031</v>
      </c>
      <c r="H399" s="3" t="s">
        <v>169</v>
      </c>
      <c r="I399" s="10">
        <v>3.4</v>
      </c>
    </row>
    <row r="400" spans="1:9" x14ac:dyDescent="0.25">
      <c r="A400" s="9">
        <v>305</v>
      </c>
      <c r="B400" s="3" t="s">
        <v>147</v>
      </c>
      <c r="C400" s="3">
        <v>52</v>
      </c>
      <c r="D400" s="3" t="s">
        <v>10</v>
      </c>
      <c r="E400" s="3" t="s">
        <v>34</v>
      </c>
      <c r="F400" s="3" t="s">
        <v>1032</v>
      </c>
      <c r="G400" s="3" t="s">
        <v>858</v>
      </c>
      <c r="H400" s="3" t="s">
        <v>37</v>
      </c>
      <c r="I400" s="10">
        <v>1.7</v>
      </c>
    </row>
    <row r="401" spans="1:9" x14ac:dyDescent="0.25">
      <c r="A401" s="9">
        <v>36</v>
      </c>
      <c r="B401" s="3" t="s">
        <v>289</v>
      </c>
      <c r="C401" s="3">
        <v>26</v>
      </c>
      <c r="D401" s="3" t="s">
        <v>22</v>
      </c>
      <c r="E401" s="3" t="s">
        <v>351</v>
      </c>
      <c r="F401" s="3" t="s">
        <v>1033</v>
      </c>
      <c r="G401" s="3" t="s">
        <v>1034</v>
      </c>
      <c r="H401" s="3" t="s">
        <v>32</v>
      </c>
      <c r="I401" s="10">
        <v>4.7</v>
      </c>
    </row>
    <row r="402" spans="1:9" x14ac:dyDescent="0.25">
      <c r="A402" s="9">
        <v>316</v>
      </c>
      <c r="B402" s="3" t="s">
        <v>1035</v>
      </c>
      <c r="C402" s="3">
        <v>48</v>
      </c>
      <c r="D402" s="3" t="s">
        <v>59</v>
      </c>
      <c r="E402" s="3" t="s">
        <v>34</v>
      </c>
      <c r="F402" s="3" t="s">
        <v>1036</v>
      </c>
      <c r="G402" s="3" t="s">
        <v>1037</v>
      </c>
      <c r="H402" s="3" t="s">
        <v>115</v>
      </c>
      <c r="I402" s="10">
        <v>1.4</v>
      </c>
    </row>
    <row r="403" spans="1:9" x14ac:dyDescent="0.25">
      <c r="A403" s="9">
        <v>400</v>
      </c>
      <c r="B403" s="3" t="s">
        <v>102</v>
      </c>
      <c r="C403" s="3">
        <v>51</v>
      </c>
      <c r="D403" s="3" t="s">
        <v>59</v>
      </c>
      <c r="E403" s="3" t="s">
        <v>49</v>
      </c>
      <c r="F403" s="3" t="s">
        <v>1038</v>
      </c>
      <c r="G403" s="3" t="s">
        <v>1039</v>
      </c>
      <c r="H403" s="3" t="s">
        <v>232</v>
      </c>
      <c r="I403" s="10">
        <v>4</v>
      </c>
    </row>
    <row r="404" spans="1:9" x14ac:dyDescent="0.25">
      <c r="A404" s="9">
        <v>310</v>
      </c>
      <c r="B404" s="3" t="s">
        <v>1040</v>
      </c>
      <c r="C404" s="3">
        <v>23</v>
      </c>
      <c r="D404" s="3" t="s">
        <v>39</v>
      </c>
      <c r="E404" s="3"/>
      <c r="F404" s="3" t="s">
        <v>1041</v>
      </c>
      <c r="G404" s="3" t="s">
        <v>1042</v>
      </c>
      <c r="H404" s="3" t="s">
        <v>20</v>
      </c>
      <c r="I404" s="10">
        <v>4.3</v>
      </c>
    </row>
    <row r="405" spans="1:9" x14ac:dyDescent="0.25">
      <c r="A405" s="9">
        <v>277</v>
      </c>
      <c r="B405" s="3" t="s">
        <v>343</v>
      </c>
      <c r="C405" s="3">
        <v>21</v>
      </c>
      <c r="D405" s="3" t="s">
        <v>54</v>
      </c>
      <c r="E405" s="3" t="s">
        <v>40</v>
      </c>
      <c r="F405" s="3" t="s">
        <v>1043</v>
      </c>
      <c r="G405" s="3" t="s">
        <v>1044</v>
      </c>
      <c r="H405" s="3" t="s">
        <v>37</v>
      </c>
      <c r="I405" s="10">
        <v>3.7</v>
      </c>
    </row>
    <row r="406" spans="1:9" x14ac:dyDescent="0.25">
      <c r="A406" s="9">
        <v>125</v>
      </c>
      <c r="B406" s="3" t="s">
        <v>133</v>
      </c>
      <c r="C406" s="3">
        <v>26</v>
      </c>
      <c r="D406" s="3" t="s">
        <v>54</v>
      </c>
      <c r="E406" s="3" t="s">
        <v>351</v>
      </c>
      <c r="F406" s="3" t="s">
        <v>1045</v>
      </c>
      <c r="G406" s="3" t="s">
        <v>1046</v>
      </c>
      <c r="H406" s="3" t="s">
        <v>75</v>
      </c>
      <c r="I406" s="10">
        <v>1.1000000000000001</v>
      </c>
    </row>
    <row r="407" spans="1:9" x14ac:dyDescent="0.25">
      <c r="A407" s="9">
        <v>143</v>
      </c>
      <c r="B407" s="3" t="s">
        <v>813</v>
      </c>
      <c r="C407" s="3">
        <v>49</v>
      </c>
      <c r="D407" s="3" t="s">
        <v>10</v>
      </c>
      <c r="E407" s="3" t="s">
        <v>34</v>
      </c>
      <c r="F407" s="3" t="s">
        <v>1047</v>
      </c>
      <c r="G407" s="3" t="s">
        <v>572</v>
      </c>
      <c r="H407" s="3" t="s">
        <v>75</v>
      </c>
      <c r="I407" s="10">
        <v>4.3</v>
      </c>
    </row>
    <row r="408" spans="1:9" x14ac:dyDescent="0.25">
      <c r="A408" s="9">
        <v>111</v>
      </c>
      <c r="B408" s="3" t="s">
        <v>754</v>
      </c>
      <c r="C408" s="3">
        <v>39</v>
      </c>
      <c r="D408" s="3" t="s">
        <v>48</v>
      </c>
      <c r="E408" s="3" t="s">
        <v>144</v>
      </c>
      <c r="F408" s="3" t="s">
        <v>1048</v>
      </c>
      <c r="G408" s="3" t="s">
        <v>1049</v>
      </c>
      <c r="H408" s="3" t="s">
        <v>37</v>
      </c>
      <c r="I408" s="10">
        <v>2.1</v>
      </c>
    </row>
    <row r="409" spans="1:9" x14ac:dyDescent="0.25">
      <c r="A409" s="9">
        <v>324</v>
      </c>
      <c r="B409" s="3" t="s">
        <v>127</v>
      </c>
      <c r="C409" s="3">
        <v>35</v>
      </c>
      <c r="D409" s="3" t="s">
        <v>39</v>
      </c>
      <c r="E409" s="3" t="s">
        <v>386</v>
      </c>
      <c r="F409" s="3" t="s">
        <v>1050</v>
      </c>
      <c r="G409" s="3" t="s">
        <v>1051</v>
      </c>
      <c r="H409" s="3" t="s">
        <v>37</v>
      </c>
      <c r="I409" s="10">
        <v>3.6</v>
      </c>
    </row>
    <row r="410" spans="1:9" x14ac:dyDescent="0.25">
      <c r="A410" s="9">
        <v>333</v>
      </c>
      <c r="B410" s="3" t="s">
        <v>764</v>
      </c>
      <c r="C410" s="3">
        <v>40</v>
      </c>
      <c r="D410" s="3" t="s">
        <v>39</v>
      </c>
      <c r="E410" s="3" t="s">
        <v>40</v>
      </c>
      <c r="F410" s="3" t="s">
        <v>1052</v>
      </c>
      <c r="G410" s="3" t="s">
        <v>1053</v>
      </c>
      <c r="H410" s="3" t="s">
        <v>75</v>
      </c>
      <c r="I410" s="10">
        <v>1.9</v>
      </c>
    </row>
    <row r="411" spans="1:9" x14ac:dyDescent="0.25">
      <c r="A411" s="9">
        <v>394</v>
      </c>
      <c r="B411" s="3" t="s">
        <v>1054</v>
      </c>
      <c r="C411" s="3">
        <v>43</v>
      </c>
      <c r="D411" s="3" t="s">
        <v>39</v>
      </c>
      <c r="E411" s="3" t="s">
        <v>23</v>
      </c>
      <c r="F411" s="3" t="s">
        <v>1055</v>
      </c>
      <c r="G411" s="3" t="s">
        <v>1056</v>
      </c>
      <c r="H411" s="3" t="s">
        <v>268</v>
      </c>
      <c r="I411" s="10">
        <v>1.2</v>
      </c>
    </row>
    <row r="412" spans="1:9" x14ac:dyDescent="0.25">
      <c r="A412" s="9">
        <v>474</v>
      </c>
      <c r="B412" s="3" t="s">
        <v>1057</v>
      </c>
      <c r="C412" s="3">
        <v>46</v>
      </c>
      <c r="D412" s="3" t="s">
        <v>22</v>
      </c>
      <c r="E412" s="3" t="s">
        <v>204</v>
      </c>
      <c r="F412" s="3" t="s">
        <v>826</v>
      </c>
      <c r="G412" s="3" t="s">
        <v>1058</v>
      </c>
      <c r="H412" s="3" t="s">
        <v>75</v>
      </c>
      <c r="I412" s="10">
        <v>2.9</v>
      </c>
    </row>
    <row r="413" spans="1:9" x14ac:dyDescent="0.25">
      <c r="A413" s="9">
        <v>108</v>
      </c>
      <c r="B413" s="3" t="s">
        <v>563</v>
      </c>
      <c r="C413" s="3">
        <v>54</v>
      </c>
      <c r="D413" s="3" t="s">
        <v>54</v>
      </c>
      <c r="E413" s="3" t="s">
        <v>239</v>
      </c>
      <c r="F413" s="3" t="s">
        <v>1059</v>
      </c>
      <c r="G413" s="3" t="s">
        <v>1060</v>
      </c>
      <c r="H413" s="3" t="s">
        <v>333</v>
      </c>
      <c r="I413" s="10">
        <v>2</v>
      </c>
    </row>
    <row r="414" spans="1:9" x14ac:dyDescent="0.25">
      <c r="A414" s="9">
        <v>456</v>
      </c>
      <c r="B414" s="3" t="s">
        <v>878</v>
      </c>
      <c r="C414" s="3">
        <v>50</v>
      </c>
      <c r="D414" s="3" t="s">
        <v>59</v>
      </c>
      <c r="E414" s="3" t="s">
        <v>17</v>
      </c>
      <c r="F414" s="3" t="s">
        <v>1061</v>
      </c>
      <c r="G414" s="3" t="s">
        <v>1062</v>
      </c>
      <c r="H414" s="3" t="s">
        <v>156</v>
      </c>
      <c r="I414" s="10">
        <v>1.8</v>
      </c>
    </row>
    <row r="415" spans="1:9" x14ac:dyDescent="0.25">
      <c r="A415" s="9">
        <v>13</v>
      </c>
      <c r="B415" s="3" t="s">
        <v>9</v>
      </c>
      <c r="C415" s="3">
        <v>57</v>
      </c>
      <c r="D415" s="3" t="s">
        <v>54</v>
      </c>
      <c r="E415" s="3" t="s">
        <v>17</v>
      </c>
      <c r="F415" s="3" t="s">
        <v>712</v>
      </c>
      <c r="G415" s="3" t="s">
        <v>675</v>
      </c>
      <c r="H415" s="3" t="s">
        <v>333</v>
      </c>
      <c r="I415" s="10">
        <v>4.7</v>
      </c>
    </row>
    <row r="416" spans="1:9" x14ac:dyDescent="0.25">
      <c r="A416" s="9">
        <v>273</v>
      </c>
      <c r="B416" s="3" t="s">
        <v>1063</v>
      </c>
      <c r="C416" s="3">
        <v>33</v>
      </c>
      <c r="D416" s="3" t="s">
        <v>22</v>
      </c>
      <c r="E416" s="3" t="s">
        <v>81</v>
      </c>
      <c r="F416" s="3" t="s">
        <v>1064</v>
      </c>
      <c r="G416" s="3" t="s">
        <v>1065</v>
      </c>
      <c r="H416" s="3" t="s">
        <v>115</v>
      </c>
      <c r="I416" s="10">
        <v>1.1000000000000001</v>
      </c>
    </row>
    <row r="417" spans="1:9" x14ac:dyDescent="0.25">
      <c r="A417" s="9">
        <v>48</v>
      </c>
      <c r="B417" s="3" t="s">
        <v>1066</v>
      </c>
      <c r="C417" s="3">
        <v>25</v>
      </c>
      <c r="D417" s="3" t="s">
        <v>39</v>
      </c>
      <c r="E417" s="3" t="s">
        <v>60</v>
      </c>
      <c r="F417" s="3" t="s">
        <v>1067</v>
      </c>
      <c r="G417" s="3" t="s">
        <v>1068</v>
      </c>
      <c r="H417" s="3" t="s">
        <v>46</v>
      </c>
      <c r="I417" s="10">
        <v>3</v>
      </c>
    </row>
    <row r="418" spans="1:9" x14ac:dyDescent="0.25">
      <c r="A418" s="9">
        <v>204</v>
      </c>
      <c r="B418" s="3" t="s">
        <v>719</v>
      </c>
      <c r="C418" s="3">
        <v>51</v>
      </c>
      <c r="D418" s="3" t="s">
        <v>59</v>
      </c>
      <c r="E418" s="3" t="s">
        <v>40</v>
      </c>
      <c r="F418" s="3" t="s">
        <v>1069</v>
      </c>
      <c r="G418" s="3" t="s">
        <v>1070</v>
      </c>
      <c r="H418" s="3" t="s">
        <v>115</v>
      </c>
      <c r="I418" s="10">
        <v>4.2</v>
      </c>
    </row>
    <row r="419" spans="1:9" x14ac:dyDescent="0.25">
      <c r="A419" s="9">
        <v>478</v>
      </c>
      <c r="B419" s="3" t="s">
        <v>813</v>
      </c>
      <c r="C419" s="3">
        <v>51</v>
      </c>
      <c r="D419" s="3" t="s">
        <v>39</v>
      </c>
      <c r="E419" s="3" t="s">
        <v>72</v>
      </c>
      <c r="F419" s="3" t="s">
        <v>1071</v>
      </c>
      <c r="G419" s="3" t="s">
        <v>1072</v>
      </c>
      <c r="H419" s="3" t="s">
        <v>219</v>
      </c>
      <c r="I419" s="10">
        <v>1.6</v>
      </c>
    </row>
    <row r="420" spans="1:9" x14ac:dyDescent="0.25">
      <c r="A420" s="9">
        <v>120</v>
      </c>
      <c r="B420" s="3" t="s">
        <v>893</v>
      </c>
      <c r="C420" s="3">
        <v>22</v>
      </c>
      <c r="D420" s="3" t="s">
        <v>28</v>
      </c>
      <c r="E420" s="3" t="s">
        <v>40</v>
      </c>
      <c r="F420" s="3" t="s">
        <v>1073</v>
      </c>
      <c r="G420" s="3" t="s">
        <v>1074</v>
      </c>
      <c r="H420" s="3" t="s">
        <v>136</v>
      </c>
      <c r="I420" s="10">
        <v>4.5</v>
      </c>
    </row>
    <row r="421" spans="1:9" x14ac:dyDescent="0.25">
      <c r="A421" s="9">
        <v>22</v>
      </c>
      <c r="B421" s="3" t="s">
        <v>76</v>
      </c>
      <c r="C421" s="3">
        <v>38</v>
      </c>
      <c r="D421" s="3" t="s">
        <v>22</v>
      </c>
      <c r="E421" s="3" t="s">
        <v>11</v>
      </c>
      <c r="F421" s="3" t="s">
        <v>1075</v>
      </c>
      <c r="G421" s="3" t="s">
        <v>1076</v>
      </c>
      <c r="H421" s="3" t="s">
        <v>115</v>
      </c>
      <c r="I421" s="10">
        <v>2.2999999999999998</v>
      </c>
    </row>
    <row r="422" spans="1:9" x14ac:dyDescent="0.25">
      <c r="A422" s="9">
        <v>403</v>
      </c>
      <c r="B422" s="3" t="s">
        <v>1077</v>
      </c>
      <c r="C422" s="3">
        <v>57</v>
      </c>
      <c r="D422" s="3" t="s">
        <v>16</v>
      </c>
      <c r="E422" s="3" t="s">
        <v>29</v>
      </c>
      <c r="F422" s="3" t="s">
        <v>1078</v>
      </c>
      <c r="G422" s="3" t="s">
        <v>1079</v>
      </c>
      <c r="H422" s="3" t="s">
        <v>37</v>
      </c>
      <c r="I422" s="10">
        <v>2.2999999999999998</v>
      </c>
    </row>
    <row r="423" spans="1:9" x14ac:dyDescent="0.25">
      <c r="A423" s="9">
        <v>84</v>
      </c>
      <c r="B423" s="3" t="s">
        <v>1080</v>
      </c>
      <c r="C423" s="3">
        <v>26</v>
      </c>
      <c r="D423" s="3" t="s">
        <v>59</v>
      </c>
      <c r="E423" s="3" t="s">
        <v>88</v>
      </c>
      <c r="F423" s="3" t="s">
        <v>1081</v>
      </c>
      <c r="G423" s="3" t="s">
        <v>1082</v>
      </c>
      <c r="H423" s="3" t="s">
        <v>26</v>
      </c>
      <c r="I423" s="10">
        <v>4.2</v>
      </c>
    </row>
    <row r="424" spans="1:9" x14ac:dyDescent="0.25">
      <c r="A424" s="9">
        <v>131</v>
      </c>
      <c r="B424" s="3" t="s">
        <v>1083</v>
      </c>
      <c r="C424" s="3">
        <v>49</v>
      </c>
      <c r="D424" s="3" t="s">
        <v>22</v>
      </c>
      <c r="E424" s="3" t="s">
        <v>144</v>
      </c>
      <c r="F424" s="3" t="s">
        <v>1084</v>
      </c>
      <c r="G424" s="3" t="s">
        <v>1085</v>
      </c>
      <c r="H424" s="3" t="s">
        <v>67</v>
      </c>
      <c r="I424" s="10">
        <v>4.3</v>
      </c>
    </row>
    <row r="425" spans="1:9" x14ac:dyDescent="0.25">
      <c r="A425" s="9">
        <v>457</v>
      </c>
      <c r="B425" s="3" t="s">
        <v>623</v>
      </c>
      <c r="C425" s="3">
        <v>54</v>
      </c>
      <c r="D425" s="3" t="s">
        <v>59</v>
      </c>
      <c r="E425" s="3" t="s">
        <v>124</v>
      </c>
      <c r="F425" s="3" t="s">
        <v>1086</v>
      </c>
      <c r="G425" s="3" t="s">
        <v>1087</v>
      </c>
      <c r="H425" s="3" t="s">
        <v>63</v>
      </c>
      <c r="I425" s="10">
        <v>3</v>
      </c>
    </row>
    <row r="426" spans="1:9" x14ac:dyDescent="0.25">
      <c r="A426" s="9">
        <v>494</v>
      </c>
      <c r="B426" s="3" t="s">
        <v>15</v>
      </c>
      <c r="C426" s="3">
        <v>53</v>
      </c>
      <c r="D426" s="3" t="s">
        <v>22</v>
      </c>
      <c r="E426" s="3" t="s">
        <v>34</v>
      </c>
      <c r="F426" s="3" t="s">
        <v>1088</v>
      </c>
      <c r="G426" s="3" t="s">
        <v>1089</v>
      </c>
      <c r="H426" s="3" t="s">
        <v>75</v>
      </c>
      <c r="I426" s="10">
        <v>4.2</v>
      </c>
    </row>
    <row r="427" spans="1:9" x14ac:dyDescent="0.25">
      <c r="A427" s="9">
        <v>330</v>
      </c>
      <c r="B427" s="3" t="s">
        <v>426</v>
      </c>
      <c r="C427" s="3">
        <v>41</v>
      </c>
      <c r="D427" s="3" t="s">
        <v>39</v>
      </c>
      <c r="E427" s="3"/>
      <c r="F427" s="3" t="s">
        <v>1090</v>
      </c>
      <c r="G427" s="3" t="s">
        <v>776</v>
      </c>
      <c r="H427" s="3" t="s">
        <v>14</v>
      </c>
      <c r="I427" s="10">
        <v>3.9</v>
      </c>
    </row>
    <row r="428" spans="1:9" x14ac:dyDescent="0.25">
      <c r="A428" s="9">
        <v>230</v>
      </c>
      <c r="B428" s="3" t="s">
        <v>1091</v>
      </c>
      <c r="C428" s="3">
        <v>18</v>
      </c>
      <c r="D428" s="3" t="s">
        <v>10</v>
      </c>
      <c r="E428" s="3" t="s">
        <v>55</v>
      </c>
      <c r="F428" s="3" t="s">
        <v>1092</v>
      </c>
      <c r="G428" s="3" t="s">
        <v>1093</v>
      </c>
      <c r="H428" s="3" t="s">
        <v>101</v>
      </c>
      <c r="I428" s="10">
        <v>1.1000000000000001</v>
      </c>
    </row>
    <row r="429" spans="1:9" x14ac:dyDescent="0.25">
      <c r="A429" s="9">
        <v>311</v>
      </c>
      <c r="B429" s="3" t="s">
        <v>203</v>
      </c>
      <c r="C429" s="3">
        <v>52</v>
      </c>
      <c r="D429" s="3" t="s">
        <v>28</v>
      </c>
      <c r="E429" s="3" t="s">
        <v>95</v>
      </c>
      <c r="F429" s="3" t="s">
        <v>1094</v>
      </c>
      <c r="G429" s="3"/>
      <c r="H429" s="3" t="s">
        <v>115</v>
      </c>
      <c r="I429" s="10"/>
    </row>
    <row r="430" spans="1:9" x14ac:dyDescent="0.25">
      <c r="A430" s="9">
        <v>287</v>
      </c>
      <c r="B430" s="3" t="s">
        <v>1095</v>
      </c>
      <c r="C430" s="3">
        <v>29</v>
      </c>
      <c r="D430" s="3" t="s">
        <v>39</v>
      </c>
      <c r="E430" s="3" t="s">
        <v>120</v>
      </c>
      <c r="F430" s="3" t="s">
        <v>1096</v>
      </c>
      <c r="G430" s="3" t="s">
        <v>1097</v>
      </c>
      <c r="H430" s="3" t="s">
        <v>268</v>
      </c>
      <c r="I430" s="10">
        <v>1.7</v>
      </c>
    </row>
    <row r="431" spans="1:9" x14ac:dyDescent="0.25">
      <c r="A431" s="9">
        <v>124</v>
      </c>
      <c r="B431" s="3" t="s">
        <v>251</v>
      </c>
      <c r="C431" s="3">
        <v>44</v>
      </c>
      <c r="D431" s="3" t="s">
        <v>39</v>
      </c>
      <c r="E431" s="3" t="s">
        <v>72</v>
      </c>
      <c r="F431" s="3" t="s">
        <v>1098</v>
      </c>
      <c r="G431" s="3" t="s">
        <v>1099</v>
      </c>
      <c r="H431" s="3" t="s">
        <v>75</v>
      </c>
      <c r="I431" s="10">
        <v>2.7</v>
      </c>
    </row>
    <row r="432" spans="1:9" x14ac:dyDescent="0.25">
      <c r="A432" s="9">
        <v>34</v>
      </c>
      <c r="B432" s="3" t="s">
        <v>969</v>
      </c>
      <c r="C432" s="3">
        <v>24</v>
      </c>
      <c r="D432" s="3" t="s">
        <v>59</v>
      </c>
      <c r="E432" s="3" t="s">
        <v>34</v>
      </c>
      <c r="F432" s="3" t="s">
        <v>1100</v>
      </c>
      <c r="G432" s="3" t="s">
        <v>1101</v>
      </c>
      <c r="H432" s="3" t="s">
        <v>79</v>
      </c>
      <c r="I432" s="10">
        <v>3</v>
      </c>
    </row>
    <row r="433" spans="1:9" x14ac:dyDescent="0.25">
      <c r="A433" s="9">
        <v>486</v>
      </c>
      <c r="B433" s="3" t="s">
        <v>113</v>
      </c>
      <c r="C433" s="3">
        <v>38</v>
      </c>
      <c r="D433" s="3" t="s">
        <v>10</v>
      </c>
      <c r="E433" s="3" t="s">
        <v>40</v>
      </c>
      <c r="F433" s="3" t="s">
        <v>1102</v>
      </c>
      <c r="G433" s="3" t="s">
        <v>1103</v>
      </c>
      <c r="H433" s="3" t="s">
        <v>46</v>
      </c>
      <c r="I433" s="10">
        <v>1.4</v>
      </c>
    </row>
    <row r="434" spans="1:9" x14ac:dyDescent="0.25">
      <c r="A434" s="9">
        <v>5</v>
      </c>
      <c r="B434" s="3" t="s">
        <v>289</v>
      </c>
      <c r="C434" s="3">
        <v>38</v>
      </c>
      <c r="D434" s="3" t="s">
        <v>48</v>
      </c>
      <c r="E434" s="3"/>
      <c r="F434" s="3" t="s">
        <v>1104</v>
      </c>
      <c r="G434" s="3" t="s">
        <v>1105</v>
      </c>
      <c r="H434" s="3" t="s">
        <v>156</v>
      </c>
      <c r="I434" s="10">
        <v>3.9</v>
      </c>
    </row>
    <row r="435" spans="1:9" x14ac:dyDescent="0.25">
      <c r="A435" s="9">
        <v>412</v>
      </c>
      <c r="B435" s="3" t="s">
        <v>1106</v>
      </c>
      <c r="C435" s="3">
        <v>43</v>
      </c>
      <c r="D435" s="3" t="s">
        <v>59</v>
      </c>
      <c r="E435" s="3" t="s">
        <v>40</v>
      </c>
      <c r="F435" s="3" t="s">
        <v>1107</v>
      </c>
      <c r="G435" s="3" t="s">
        <v>1108</v>
      </c>
      <c r="H435" s="3" t="s">
        <v>242</v>
      </c>
      <c r="I435" s="10">
        <v>1.7</v>
      </c>
    </row>
    <row r="436" spans="1:9" x14ac:dyDescent="0.25">
      <c r="A436" s="9">
        <v>20</v>
      </c>
      <c r="B436" s="3" t="s">
        <v>521</v>
      </c>
      <c r="C436" s="3">
        <v>55</v>
      </c>
      <c r="D436" s="3" t="s">
        <v>59</v>
      </c>
      <c r="E436" s="3" t="s">
        <v>239</v>
      </c>
      <c r="F436" s="3" t="s">
        <v>1109</v>
      </c>
      <c r="G436" s="3" t="s">
        <v>1110</v>
      </c>
      <c r="H436" s="3" t="s">
        <v>242</v>
      </c>
      <c r="I436" s="10">
        <v>4.2</v>
      </c>
    </row>
    <row r="437" spans="1:9" x14ac:dyDescent="0.25">
      <c r="A437" s="9">
        <v>220</v>
      </c>
      <c r="B437" s="3" t="s">
        <v>528</v>
      </c>
      <c r="C437" s="3">
        <v>36</v>
      </c>
      <c r="D437" s="3" t="s">
        <v>59</v>
      </c>
      <c r="E437" s="3" t="s">
        <v>34</v>
      </c>
      <c r="F437" s="3" t="s">
        <v>1111</v>
      </c>
      <c r="G437" s="3" t="s">
        <v>1112</v>
      </c>
      <c r="H437" s="3" t="s">
        <v>356</v>
      </c>
      <c r="I437" s="10">
        <v>3.8</v>
      </c>
    </row>
    <row r="438" spans="1:9" x14ac:dyDescent="0.25">
      <c r="A438" s="9">
        <v>380</v>
      </c>
      <c r="B438" s="3" t="s">
        <v>1113</v>
      </c>
      <c r="C438" s="3">
        <v>49</v>
      </c>
      <c r="D438" s="3" t="s">
        <v>28</v>
      </c>
      <c r="E438" s="3" t="s">
        <v>106</v>
      </c>
      <c r="F438" s="3" t="s">
        <v>1114</v>
      </c>
      <c r="G438" s="3" t="s">
        <v>1115</v>
      </c>
      <c r="H438" s="3" t="s">
        <v>20</v>
      </c>
      <c r="I438" s="10">
        <v>4.9000000000000004</v>
      </c>
    </row>
    <row r="439" spans="1:9" x14ac:dyDescent="0.25">
      <c r="A439" s="9">
        <v>169</v>
      </c>
      <c r="B439" s="3" t="s">
        <v>236</v>
      </c>
      <c r="C439" s="3">
        <v>54</v>
      </c>
      <c r="D439" s="3" t="s">
        <v>28</v>
      </c>
      <c r="E439" s="3" t="s">
        <v>120</v>
      </c>
      <c r="F439" s="3" t="s">
        <v>1116</v>
      </c>
      <c r="G439" s="3" t="s">
        <v>238</v>
      </c>
      <c r="H439" s="3" t="s">
        <v>156</v>
      </c>
      <c r="I439" s="10">
        <v>2.9</v>
      </c>
    </row>
    <row r="440" spans="1:9" x14ac:dyDescent="0.25">
      <c r="A440" s="9">
        <v>420</v>
      </c>
      <c r="B440" s="3" t="s">
        <v>173</v>
      </c>
      <c r="C440" s="3">
        <v>47</v>
      </c>
      <c r="D440" s="3" t="s">
        <v>10</v>
      </c>
      <c r="E440" s="3" t="s">
        <v>40</v>
      </c>
      <c r="F440" s="3" t="s">
        <v>1117</v>
      </c>
      <c r="G440" s="3" t="s">
        <v>1118</v>
      </c>
      <c r="H440" s="3" t="s">
        <v>46</v>
      </c>
      <c r="I440" s="10">
        <v>4.8</v>
      </c>
    </row>
    <row r="441" spans="1:9" x14ac:dyDescent="0.25">
      <c r="A441" s="9">
        <v>357</v>
      </c>
      <c r="B441" s="3" t="s">
        <v>173</v>
      </c>
      <c r="C441" s="3">
        <v>31</v>
      </c>
      <c r="D441" s="3" t="s">
        <v>39</v>
      </c>
      <c r="E441" s="3" t="s">
        <v>29</v>
      </c>
      <c r="F441" s="3" t="s">
        <v>1119</v>
      </c>
      <c r="G441" s="3" t="s">
        <v>1120</v>
      </c>
      <c r="H441" s="3" t="s">
        <v>101</v>
      </c>
      <c r="I441" s="10">
        <v>4.5</v>
      </c>
    </row>
    <row r="442" spans="1:9" x14ac:dyDescent="0.25">
      <c r="A442" s="9">
        <v>150</v>
      </c>
      <c r="B442" s="3" t="s">
        <v>1121</v>
      </c>
      <c r="C442" s="3">
        <v>45</v>
      </c>
      <c r="D442" s="3" t="s">
        <v>28</v>
      </c>
      <c r="E442" s="3" t="s">
        <v>144</v>
      </c>
      <c r="F442" s="3" t="s">
        <v>1122</v>
      </c>
      <c r="G442" s="3" t="s">
        <v>1123</v>
      </c>
      <c r="H442" s="3" t="s">
        <v>136</v>
      </c>
      <c r="I442" s="10">
        <v>3.4</v>
      </c>
    </row>
    <row r="443" spans="1:9" x14ac:dyDescent="0.25">
      <c r="A443" s="9">
        <v>225</v>
      </c>
      <c r="B443" s="3" t="s">
        <v>1124</v>
      </c>
      <c r="C443" s="3">
        <v>50</v>
      </c>
      <c r="D443" s="3" t="s">
        <v>39</v>
      </c>
      <c r="E443" s="3" t="s">
        <v>34</v>
      </c>
      <c r="F443" s="3" t="s">
        <v>1125</v>
      </c>
      <c r="G443" s="3" t="s">
        <v>1126</v>
      </c>
      <c r="H443" s="3" t="s">
        <v>136</v>
      </c>
      <c r="I443" s="10">
        <v>2.9</v>
      </c>
    </row>
    <row r="444" spans="1:9" x14ac:dyDescent="0.25">
      <c r="A444" s="9">
        <v>248</v>
      </c>
      <c r="B444" s="3" t="s">
        <v>1127</v>
      </c>
      <c r="C444" s="3">
        <v>26</v>
      </c>
      <c r="D444" s="3" t="s">
        <v>39</v>
      </c>
      <c r="E444" s="3" t="s">
        <v>81</v>
      </c>
      <c r="F444" s="3" t="s">
        <v>1128</v>
      </c>
      <c r="G444" s="3" t="s">
        <v>1129</v>
      </c>
      <c r="H444" s="3" t="s">
        <v>142</v>
      </c>
      <c r="I444" s="10">
        <v>4.5</v>
      </c>
    </row>
    <row r="445" spans="1:9" x14ac:dyDescent="0.25">
      <c r="A445" s="9">
        <v>454</v>
      </c>
      <c r="B445" s="3" t="s">
        <v>443</v>
      </c>
      <c r="C445" s="3">
        <v>52</v>
      </c>
      <c r="D445" s="3" t="s">
        <v>59</v>
      </c>
      <c r="E445" s="3" t="s">
        <v>55</v>
      </c>
      <c r="F445" s="3" t="s">
        <v>383</v>
      </c>
      <c r="G445" s="3" t="s">
        <v>1130</v>
      </c>
      <c r="H445" s="3" t="s">
        <v>75</v>
      </c>
      <c r="I445" s="10">
        <v>3.7</v>
      </c>
    </row>
    <row r="446" spans="1:9" x14ac:dyDescent="0.25">
      <c r="A446" s="9">
        <v>152</v>
      </c>
      <c r="B446" s="3" t="s">
        <v>1091</v>
      </c>
      <c r="C446" s="3">
        <v>37</v>
      </c>
      <c r="D446" s="3" t="s">
        <v>22</v>
      </c>
      <c r="E446" s="3" t="s">
        <v>351</v>
      </c>
      <c r="F446" s="3" t="s">
        <v>1131</v>
      </c>
      <c r="G446" s="3" t="s">
        <v>1132</v>
      </c>
      <c r="H446" s="3" t="s">
        <v>268</v>
      </c>
      <c r="I446" s="10">
        <v>1.7</v>
      </c>
    </row>
    <row r="447" spans="1:9" x14ac:dyDescent="0.25">
      <c r="A447" s="9">
        <v>493</v>
      </c>
      <c r="B447" s="3" t="s">
        <v>324</v>
      </c>
      <c r="C447" s="3">
        <v>52</v>
      </c>
      <c r="D447" s="3" t="s">
        <v>39</v>
      </c>
      <c r="E447" s="3" t="s">
        <v>34</v>
      </c>
      <c r="F447" s="3" t="s">
        <v>1133</v>
      </c>
      <c r="G447" s="3" t="s">
        <v>1134</v>
      </c>
      <c r="H447" s="3" t="s">
        <v>268</v>
      </c>
      <c r="I447" s="10">
        <v>3.8</v>
      </c>
    </row>
    <row r="448" spans="1:9" x14ac:dyDescent="0.25">
      <c r="A448" s="9">
        <v>318</v>
      </c>
      <c r="B448" s="3" t="s">
        <v>1135</v>
      </c>
      <c r="C448" s="3">
        <v>50</v>
      </c>
      <c r="D448" s="3" t="s">
        <v>39</v>
      </c>
      <c r="E448" s="3" t="s">
        <v>11</v>
      </c>
      <c r="F448" s="3" t="s">
        <v>1136</v>
      </c>
      <c r="G448" s="3" t="s">
        <v>1137</v>
      </c>
      <c r="H448" s="3" t="s">
        <v>37</v>
      </c>
      <c r="I448" s="10"/>
    </row>
    <row r="449" spans="1:9" x14ac:dyDescent="0.25">
      <c r="A449" s="9">
        <v>292</v>
      </c>
      <c r="B449" s="3" t="s">
        <v>58</v>
      </c>
      <c r="C449" s="3">
        <v>55</v>
      </c>
      <c r="D449" s="3" t="s">
        <v>54</v>
      </c>
      <c r="E449" s="3" t="s">
        <v>23</v>
      </c>
      <c r="F449" s="3" t="s">
        <v>1138</v>
      </c>
      <c r="G449" s="3" t="s">
        <v>1139</v>
      </c>
      <c r="H449" s="3" t="s">
        <v>101</v>
      </c>
      <c r="I449" s="10">
        <v>3.4</v>
      </c>
    </row>
    <row r="450" spans="1:9" x14ac:dyDescent="0.25">
      <c r="A450" s="9">
        <v>234</v>
      </c>
      <c r="B450" s="3" t="s">
        <v>1083</v>
      </c>
      <c r="C450" s="3">
        <v>40</v>
      </c>
      <c r="D450" s="3" t="s">
        <v>39</v>
      </c>
      <c r="E450" s="3" t="s">
        <v>40</v>
      </c>
      <c r="F450" s="3" t="s">
        <v>1140</v>
      </c>
      <c r="G450" s="3" t="s">
        <v>1141</v>
      </c>
      <c r="H450" s="3" t="s">
        <v>268</v>
      </c>
      <c r="I450" s="10">
        <v>1.3</v>
      </c>
    </row>
    <row r="451" spans="1:9" x14ac:dyDescent="0.25">
      <c r="A451" s="9">
        <v>11</v>
      </c>
      <c r="B451" s="3" t="s">
        <v>389</v>
      </c>
      <c r="C451" s="3">
        <v>41</v>
      </c>
      <c r="D451" s="3" t="s">
        <v>28</v>
      </c>
      <c r="E451" s="3" t="s">
        <v>72</v>
      </c>
      <c r="F451" s="3" t="s">
        <v>1142</v>
      </c>
      <c r="G451" s="3" t="s">
        <v>1143</v>
      </c>
      <c r="H451" s="3" t="s">
        <v>26</v>
      </c>
      <c r="I451" s="10">
        <v>4.4000000000000004</v>
      </c>
    </row>
    <row r="452" spans="1:9" x14ac:dyDescent="0.25">
      <c r="A452" s="9">
        <v>280</v>
      </c>
      <c r="B452" s="3" t="s">
        <v>947</v>
      </c>
      <c r="C452" s="3">
        <v>38</v>
      </c>
      <c r="D452" s="3" t="s">
        <v>39</v>
      </c>
      <c r="E452" s="3" t="s">
        <v>11</v>
      </c>
      <c r="F452" s="3" t="s">
        <v>1144</v>
      </c>
      <c r="G452" s="3" t="s">
        <v>1145</v>
      </c>
      <c r="H452" s="3" t="s">
        <v>112</v>
      </c>
      <c r="I452" s="10">
        <v>4.0999999999999996</v>
      </c>
    </row>
    <row r="453" spans="1:9" x14ac:dyDescent="0.25">
      <c r="A453" s="9">
        <v>72</v>
      </c>
      <c r="B453" s="3" t="s">
        <v>98</v>
      </c>
      <c r="C453" s="3">
        <v>38</v>
      </c>
      <c r="D453" s="3" t="s">
        <v>48</v>
      </c>
      <c r="E453" s="3" t="s">
        <v>49</v>
      </c>
      <c r="F453" s="3" t="s">
        <v>1146</v>
      </c>
      <c r="G453" s="3" t="s">
        <v>1147</v>
      </c>
      <c r="H453" s="3" t="s">
        <v>156</v>
      </c>
      <c r="I453" s="10">
        <v>3.6</v>
      </c>
    </row>
    <row r="454" spans="1:9" x14ac:dyDescent="0.25">
      <c r="A454" s="9">
        <v>253</v>
      </c>
      <c r="B454" s="3" t="s">
        <v>426</v>
      </c>
      <c r="C454" s="3">
        <v>20</v>
      </c>
      <c r="D454" s="3" t="s">
        <v>48</v>
      </c>
      <c r="E454" s="3" t="s">
        <v>351</v>
      </c>
      <c r="F454" s="3" t="s">
        <v>1148</v>
      </c>
      <c r="G454" s="3" t="s">
        <v>1149</v>
      </c>
      <c r="H454" s="3" t="s">
        <v>115</v>
      </c>
      <c r="I454" s="10">
        <v>4.2</v>
      </c>
    </row>
    <row r="455" spans="1:9" x14ac:dyDescent="0.25">
      <c r="A455" s="9">
        <v>93</v>
      </c>
      <c r="B455" s="3" t="s">
        <v>233</v>
      </c>
      <c r="C455" s="3">
        <v>52</v>
      </c>
      <c r="D455" s="3" t="s">
        <v>39</v>
      </c>
      <c r="E455" s="3" t="s">
        <v>144</v>
      </c>
      <c r="F455" s="3" t="s">
        <v>1150</v>
      </c>
      <c r="G455" s="3" t="s">
        <v>1151</v>
      </c>
      <c r="H455" s="3" t="s">
        <v>79</v>
      </c>
      <c r="I455" s="10">
        <v>2.6</v>
      </c>
    </row>
    <row r="456" spans="1:9" x14ac:dyDescent="0.25">
      <c r="A456" s="9">
        <v>492</v>
      </c>
      <c r="B456" s="3" t="s">
        <v>80</v>
      </c>
      <c r="C456" s="3">
        <v>52</v>
      </c>
      <c r="D456" s="3" t="s">
        <v>59</v>
      </c>
      <c r="E456" s="3" t="s">
        <v>40</v>
      </c>
      <c r="F456" s="3" t="s">
        <v>1152</v>
      </c>
      <c r="G456" s="3" t="s">
        <v>1153</v>
      </c>
      <c r="H456" s="3" t="s">
        <v>75</v>
      </c>
      <c r="I456" s="10">
        <v>3.3</v>
      </c>
    </row>
    <row r="457" spans="1:9" x14ac:dyDescent="0.25">
      <c r="A457" s="9">
        <v>350</v>
      </c>
      <c r="B457" s="3" t="s">
        <v>1154</v>
      </c>
      <c r="C457" s="3">
        <v>30</v>
      </c>
      <c r="D457" s="3" t="s">
        <v>59</v>
      </c>
      <c r="E457" s="3" t="s">
        <v>11</v>
      </c>
      <c r="F457" s="3" t="s">
        <v>1155</v>
      </c>
      <c r="G457" s="3" t="s">
        <v>1156</v>
      </c>
      <c r="H457" s="3" t="s">
        <v>37</v>
      </c>
      <c r="I457" s="10"/>
    </row>
    <row r="458" spans="1:9" x14ac:dyDescent="0.25">
      <c r="A458" s="9">
        <v>416</v>
      </c>
      <c r="B458" s="3" t="s">
        <v>961</v>
      </c>
      <c r="C458" s="3">
        <v>46</v>
      </c>
      <c r="D458" s="3" t="s">
        <v>54</v>
      </c>
      <c r="E458" s="3" t="s">
        <v>55</v>
      </c>
      <c r="F458" s="3" t="s">
        <v>1157</v>
      </c>
      <c r="G458" s="3" t="s">
        <v>1158</v>
      </c>
      <c r="H458" s="3" t="s">
        <v>136</v>
      </c>
      <c r="I458" s="10">
        <v>1.3</v>
      </c>
    </row>
    <row r="459" spans="1:9" x14ac:dyDescent="0.25">
      <c r="A459" s="9">
        <v>375</v>
      </c>
      <c r="B459" s="3" t="s">
        <v>289</v>
      </c>
      <c r="C459" s="3">
        <v>25</v>
      </c>
      <c r="D459" s="3" t="s">
        <v>10</v>
      </c>
      <c r="E459" s="3" t="s">
        <v>124</v>
      </c>
      <c r="F459" s="3" t="s">
        <v>1159</v>
      </c>
      <c r="G459" s="3" t="s">
        <v>1160</v>
      </c>
      <c r="H459" s="3" t="s">
        <v>112</v>
      </c>
      <c r="I459" s="10">
        <v>3.2</v>
      </c>
    </row>
    <row r="460" spans="1:9" x14ac:dyDescent="0.25">
      <c r="A460" s="9">
        <v>401</v>
      </c>
      <c r="B460" s="3" t="s">
        <v>1161</v>
      </c>
      <c r="C460" s="3">
        <v>49</v>
      </c>
      <c r="D460" s="3" t="s">
        <v>59</v>
      </c>
      <c r="E460" s="3" t="s">
        <v>88</v>
      </c>
      <c r="F460" s="3" t="s">
        <v>1162</v>
      </c>
      <c r="G460" s="3" t="s">
        <v>1163</v>
      </c>
      <c r="H460" s="3" t="s">
        <v>112</v>
      </c>
      <c r="I460" s="10">
        <v>1.1000000000000001</v>
      </c>
    </row>
    <row r="461" spans="1:9" x14ac:dyDescent="0.25">
      <c r="A461" s="9">
        <v>193</v>
      </c>
      <c r="B461" s="3" t="s">
        <v>185</v>
      </c>
      <c r="C461" s="3">
        <v>19</v>
      </c>
      <c r="D461" s="3" t="s">
        <v>16</v>
      </c>
      <c r="E461" s="3" t="s">
        <v>144</v>
      </c>
      <c r="F461" s="3" t="s">
        <v>1164</v>
      </c>
      <c r="G461" s="3" t="s">
        <v>1165</v>
      </c>
      <c r="H461" s="3" t="s">
        <v>219</v>
      </c>
      <c r="I461" s="10">
        <v>3.4</v>
      </c>
    </row>
    <row r="462" spans="1:9" x14ac:dyDescent="0.25">
      <c r="A462" s="9">
        <v>258</v>
      </c>
      <c r="B462" s="3" t="s">
        <v>153</v>
      </c>
      <c r="C462" s="3">
        <v>28</v>
      </c>
      <c r="D462" s="3" t="s">
        <v>16</v>
      </c>
      <c r="E462" s="3" t="s">
        <v>95</v>
      </c>
      <c r="F462" s="3" t="s">
        <v>1166</v>
      </c>
      <c r="G462" s="3" t="s">
        <v>1167</v>
      </c>
      <c r="H462" s="3" t="s">
        <v>232</v>
      </c>
      <c r="I462" s="10">
        <v>2.9</v>
      </c>
    </row>
    <row r="463" spans="1:9" x14ac:dyDescent="0.25">
      <c r="A463" s="9">
        <v>495</v>
      </c>
      <c r="B463" s="3" t="s">
        <v>1168</v>
      </c>
      <c r="C463" s="3">
        <v>35</v>
      </c>
      <c r="D463" s="3" t="s">
        <v>59</v>
      </c>
      <c r="E463" s="3" t="s">
        <v>29</v>
      </c>
      <c r="F463" s="3" t="s">
        <v>1169</v>
      </c>
      <c r="G463" s="3" t="s">
        <v>1170</v>
      </c>
      <c r="H463" s="3" t="s">
        <v>14</v>
      </c>
      <c r="I463" s="10">
        <v>1.8</v>
      </c>
    </row>
    <row r="464" spans="1:9" x14ac:dyDescent="0.25">
      <c r="A464" s="9">
        <v>340</v>
      </c>
      <c r="B464" s="3" t="s">
        <v>1171</v>
      </c>
      <c r="C464" s="3">
        <v>57</v>
      </c>
      <c r="D464" s="3" t="s">
        <v>10</v>
      </c>
      <c r="E464" s="3" t="s">
        <v>34</v>
      </c>
      <c r="F464" s="3" t="s">
        <v>1172</v>
      </c>
      <c r="G464" s="3" t="s">
        <v>1173</v>
      </c>
      <c r="H464" s="3" t="s">
        <v>67</v>
      </c>
      <c r="I464" s="10">
        <v>4.3</v>
      </c>
    </row>
    <row r="465" spans="1:9" x14ac:dyDescent="0.25">
      <c r="A465" s="9">
        <v>68</v>
      </c>
      <c r="B465" s="3" t="s">
        <v>1174</v>
      </c>
      <c r="C465" s="3">
        <v>25</v>
      </c>
      <c r="D465" s="3" t="s">
        <v>59</v>
      </c>
      <c r="E465" s="3" t="s">
        <v>40</v>
      </c>
      <c r="F465" s="3" t="s">
        <v>1175</v>
      </c>
      <c r="G465" s="3" t="s">
        <v>1176</v>
      </c>
      <c r="H465" s="3" t="s">
        <v>356</v>
      </c>
      <c r="I465" s="10">
        <v>4.4000000000000004</v>
      </c>
    </row>
    <row r="466" spans="1:9" x14ac:dyDescent="0.25">
      <c r="A466" s="9">
        <v>196</v>
      </c>
      <c r="B466" s="3" t="s">
        <v>43</v>
      </c>
      <c r="C466" s="3">
        <v>23</v>
      </c>
      <c r="D466" s="3" t="s">
        <v>59</v>
      </c>
      <c r="E466" s="3" t="s">
        <v>200</v>
      </c>
      <c r="F466" s="3" t="s">
        <v>1177</v>
      </c>
      <c r="G466" s="3" t="s">
        <v>1178</v>
      </c>
      <c r="H466" s="3" t="s">
        <v>156</v>
      </c>
      <c r="I466" s="10">
        <v>4.7</v>
      </c>
    </row>
    <row r="467" spans="1:9" x14ac:dyDescent="0.25">
      <c r="A467" s="9">
        <v>344</v>
      </c>
      <c r="B467" s="3" t="s">
        <v>403</v>
      </c>
      <c r="C467" s="3">
        <v>46</v>
      </c>
      <c r="D467" s="3" t="s">
        <v>59</v>
      </c>
      <c r="E467" s="3" t="s">
        <v>23</v>
      </c>
      <c r="F467" s="3" t="s">
        <v>1179</v>
      </c>
      <c r="G467" s="3" t="s">
        <v>1180</v>
      </c>
      <c r="H467" s="3" t="s">
        <v>142</v>
      </c>
      <c r="I467" s="10">
        <v>2.1</v>
      </c>
    </row>
    <row r="468" spans="1:9" x14ac:dyDescent="0.25">
      <c r="A468" s="9">
        <v>138</v>
      </c>
      <c r="B468" s="3" t="s">
        <v>130</v>
      </c>
      <c r="C468" s="3">
        <v>56</v>
      </c>
      <c r="D468" s="3" t="s">
        <v>59</v>
      </c>
      <c r="E468" s="3" t="s">
        <v>124</v>
      </c>
      <c r="F468" s="3" t="s">
        <v>1181</v>
      </c>
      <c r="G468" s="3" t="s">
        <v>1182</v>
      </c>
      <c r="H468" s="3" t="s">
        <v>156</v>
      </c>
      <c r="I468" s="10"/>
    </row>
    <row r="469" spans="1:9" x14ac:dyDescent="0.25">
      <c r="A469" s="9">
        <v>261</v>
      </c>
      <c r="B469" s="3" t="s">
        <v>15</v>
      </c>
      <c r="C469" s="3">
        <v>55</v>
      </c>
      <c r="D469" s="3" t="s">
        <v>39</v>
      </c>
      <c r="E469" s="3" t="s">
        <v>72</v>
      </c>
      <c r="F469" s="3" t="s">
        <v>1183</v>
      </c>
      <c r="G469" s="3" t="s">
        <v>1184</v>
      </c>
      <c r="H469" s="3" t="s">
        <v>67</v>
      </c>
      <c r="I469" s="10">
        <v>4.9000000000000004</v>
      </c>
    </row>
    <row r="470" spans="1:9" x14ac:dyDescent="0.25">
      <c r="A470" s="9">
        <v>39</v>
      </c>
      <c r="B470" s="3" t="s">
        <v>9</v>
      </c>
      <c r="C470" s="3">
        <v>21</v>
      </c>
      <c r="D470" s="3" t="s">
        <v>59</v>
      </c>
      <c r="E470" s="3" t="s">
        <v>124</v>
      </c>
      <c r="F470" s="3" t="s">
        <v>1185</v>
      </c>
      <c r="G470" s="3" t="s">
        <v>1186</v>
      </c>
      <c r="H470" s="3" t="s">
        <v>75</v>
      </c>
      <c r="I470" s="10">
        <v>3.5</v>
      </c>
    </row>
    <row r="471" spans="1:9" x14ac:dyDescent="0.25">
      <c r="A471" s="9">
        <v>463</v>
      </c>
      <c r="B471" s="3" t="s">
        <v>1187</v>
      </c>
      <c r="C471" s="3">
        <v>27</v>
      </c>
      <c r="D471" s="3" t="s">
        <v>59</v>
      </c>
      <c r="E471" s="3" t="s">
        <v>204</v>
      </c>
      <c r="F471" s="3" t="s">
        <v>1188</v>
      </c>
      <c r="G471" s="3" t="s">
        <v>1189</v>
      </c>
      <c r="H471" s="3" t="s">
        <v>115</v>
      </c>
      <c r="I471" s="10">
        <v>2.8</v>
      </c>
    </row>
    <row r="472" spans="1:9" x14ac:dyDescent="0.25">
      <c r="A472" s="9">
        <v>202</v>
      </c>
      <c r="B472" s="3" t="s">
        <v>357</v>
      </c>
      <c r="C472" s="3">
        <v>41</v>
      </c>
      <c r="D472" s="3" t="s">
        <v>10</v>
      </c>
      <c r="E472" s="3" t="s">
        <v>60</v>
      </c>
      <c r="F472" s="3" t="s">
        <v>1027</v>
      </c>
      <c r="G472" s="3" t="s">
        <v>1190</v>
      </c>
      <c r="H472" s="3" t="s">
        <v>79</v>
      </c>
      <c r="I472" s="10">
        <v>4.5</v>
      </c>
    </row>
    <row r="473" spans="1:9" x14ac:dyDescent="0.25">
      <c r="A473" s="9">
        <v>481</v>
      </c>
      <c r="B473" s="3" t="s">
        <v>127</v>
      </c>
      <c r="C473" s="3">
        <v>21</v>
      </c>
      <c r="D473" s="3" t="s">
        <v>10</v>
      </c>
      <c r="E473" s="3" t="s">
        <v>200</v>
      </c>
      <c r="F473" s="3" t="s">
        <v>1191</v>
      </c>
      <c r="G473" s="3" t="s">
        <v>1192</v>
      </c>
      <c r="H473" s="3" t="s">
        <v>136</v>
      </c>
      <c r="I473" s="10">
        <v>3.8</v>
      </c>
    </row>
    <row r="474" spans="1:9" x14ac:dyDescent="0.25">
      <c r="A474" s="9">
        <v>291</v>
      </c>
      <c r="B474" s="3" t="s">
        <v>1193</v>
      </c>
      <c r="C474" s="3">
        <v>55</v>
      </c>
      <c r="D474" s="3" t="s">
        <v>59</v>
      </c>
      <c r="E474" s="3" t="s">
        <v>34</v>
      </c>
      <c r="F474" s="3" t="s">
        <v>1194</v>
      </c>
      <c r="G474" s="3" t="s">
        <v>1195</v>
      </c>
      <c r="H474" s="3" t="s">
        <v>26</v>
      </c>
      <c r="I474" s="10">
        <v>3.6</v>
      </c>
    </row>
    <row r="475" spans="1:9" x14ac:dyDescent="0.25">
      <c r="A475" s="9">
        <v>449</v>
      </c>
      <c r="B475" s="3" t="s">
        <v>98</v>
      </c>
      <c r="C475" s="3">
        <v>49</v>
      </c>
      <c r="D475" s="3" t="s">
        <v>59</v>
      </c>
      <c r="E475" s="3" t="s">
        <v>124</v>
      </c>
      <c r="F475" s="3" t="s">
        <v>732</v>
      </c>
      <c r="G475" s="3" t="s">
        <v>1192</v>
      </c>
      <c r="H475" s="3" t="s">
        <v>67</v>
      </c>
      <c r="I475" s="10">
        <v>3.5</v>
      </c>
    </row>
    <row r="476" spans="1:9" x14ac:dyDescent="0.25">
      <c r="A476" s="9">
        <v>190</v>
      </c>
      <c r="B476" s="3" t="s">
        <v>1196</v>
      </c>
      <c r="C476" s="3">
        <v>50</v>
      </c>
      <c r="D476" s="3" t="s">
        <v>39</v>
      </c>
      <c r="E476" s="3" t="s">
        <v>200</v>
      </c>
      <c r="F476" s="3" t="s">
        <v>1197</v>
      </c>
      <c r="G476" s="3" t="s">
        <v>1198</v>
      </c>
      <c r="H476" s="3" t="s">
        <v>356</v>
      </c>
      <c r="I476" s="10">
        <v>4.2</v>
      </c>
    </row>
    <row r="477" spans="1:9" x14ac:dyDescent="0.25">
      <c r="A477" s="9">
        <v>252</v>
      </c>
      <c r="B477" s="3" t="s">
        <v>327</v>
      </c>
      <c r="C477" s="3">
        <v>33</v>
      </c>
      <c r="D477" s="3" t="s">
        <v>28</v>
      </c>
      <c r="E477" s="3" t="s">
        <v>200</v>
      </c>
      <c r="F477" s="3" t="s">
        <v>1199</v>
      </c>
      <c r="G477" s="3" t="s">
        <v>1200</v>
      </c>
      <c r="H477" s="3" t="s">
        <v>101</v>
      </c>
      <c r="I477" s="10">
        <v>4.8</v>
      </c>
    </row>
    <row r="478" spans="1:9" x14ac:dyDescent="0.25">
      <c r="A478" s="9">
        <v>113</v>
      </c>
      <c r="B478" s="3" t="s">
        <v>885</v>
      </c>
      <c r="C478" s="3">
        <v>52</v>
      </c>
      <c r="D478" s="3" t="s">
        <v>48</v>
      </c>
      <c r="E478" s="3" t="s">
        <v>95</v>
      </c>
      <c r="F478" s="3" t="s">
        <v>1201</v>
      </c>
      <c r="G478" s="3" t="s">
        <v>1202</v>
      </c>
      <c r="H478" s="3" t="s">
        <v>219</v>
      </c>
      <c r="I478" s="10">
        <v>2.6</v>
      </c>
    </row>
    <row r="479" spans="1:9" x14ac:dyDescent="0.25">
      <c r="A479" s="9">
        <v>438</v>
      </c>
      <c r="B479" s="3" t="s">
        <v>947</v>
      </c>
      <c r="C479" s="3">
        <v>27</v>
      </c>
      <c r="D479" s="3" t="s">
        <v>48</v>
      </c>
      <c r="E479" s="3" t="s">
        <v>106</v>
      </c>
      <c r="F479" s="3" t="s">
        <v>1203</v>
      </c>
      <c r="G479" s="3" t="s">
        <v>1204</v>
      </c>
      <c r="H479" s="3" t="s">
        <v>333</v>
      </c>
      <c r="I479" s="10">
        <v>4.9000000000000004</v>
      </c>
    </row>
    <row r="480" spans="1:9" x14ac:dyDescent="0.25">
      <c r="A480" s="9">
        <v>184</v>
      </c>
      <c r="B480" s="3" t="s">
        <v>770</v>
      </c>
      <c r="C480" s="3">
        <v>19</v>
      </c>
      <c r="D480" s="3" t="s">
        <v>39</v>
      </c>
      <c r="E480" s="3" t="s">
        <v>29</v>
      </c>
      <c r="F480" s="3" t="s">
        <v>1205</v>
      </c>
      <c r="G480" s="3" t="s">
        <v>1206</v>
      </c>
      <c r="H480" s="3" t="s">
        <v>37</v>
      </c>
      <c r="I480" s="10">
        <v>3.9</v>
      </c>
    </row>
    <row r="481" spans="1:9" x14ac:dyDescent="0.25">
      <c r="A481" s="9">
        <v>153</v>
      </c>
      <c r="B481" s="3" t="s">
        <v>813</v>
      </c>
      <c r="C481" s="3">
        <v>47</v>
      </c>
      <c r="D481" s="3" t="s">
        <v>28</v>
      </c>
      <c r="E481" s="3" t="s">
        <v>11</v>
      </c>
      <c r="F481" s="3" t="s">
        <v>1207</v>
      </c>
      <c r="G481" s="3" t="s">
        <v>1208</v>
      </c>
      <c r="H481" s="3" t="s">
        <v>333</v>
      </c>
      <c r="I481" s="10">
        <v>4.7</v>
      </c>
    </row>
    <row r="482" spans="1:9" x14ac:dyDescent="0.25">
      <c r="A482" s="9">
        <v>313</v>
      </c>
      <c r="B482" s="3" t="s">
        <v>1209</v>
      </c>
      <c r="C482" s="3">
        <v>54</v>
      </c>
      <c r="D482" s="3" t="s">
        <v>39</v>
      </c>
      <c r="E482" s="3" t="s">
        <v>29</v>
      </c>
      <c r="F482" s="3" t="s">
        <v>1210</v>
      </c>
      <c r="G482" s="3" t="s">
        <v>679</v>
      </c>
      <c r="H482" s="3" t="s">
        <v>219</v>
      </c>
      <c r="I482" s="10">
        <v>3.1</v>
      </c>
    </row>
    <row r="483" spans="1:9" x14ac:dyDescent="0.25">
      <c r="A483" s="9">
        <v>326</v>
      </c>
      <c r="B483" s="3" t="s">
        <v>403</v>
      </c>
      <c r="C483" s="3">
        <v>59</v>
      </c>
      <c r="D483" s="3" t="s">
        <v>54</v>
      </c>
      <c r="E483" s="3" t="s">
        <v>34</v>
      </c>
      <c r="F483" s="3" t="s">
        <v>1211</v>
      </c>
      <c r="G483" s="3" t="s">
        <v>1212</v>
      </c>
      <c r="H483" s="3" t="s">
        <v>112</v>
      </c>
      <c r="I483" s="10">
        <v>1.3</v>
      </c>
    </row>
    <row r="484" spans="1:9" x14ac:dyDescent="0.25">
      <c r="A484" s="9">
        <v>192</v>
      </c>
      <c r="B484" s="3" t="s">
        <v>1213</v>
      </c>
      <c r="C484" s="3">
        <v>36</v>
      </c>
      <c r="D484" s="3" t="s">
        <v>48</v>
      </c>
      <c r="E484" s="3" t="s">
        <v>144</v>
      </c>
      <c r="F484" s="3" t="s">
        <v>1214</v>
      </c>
      <c r="G484" s="3" t="s">
        <v>1215</v>
      </c>
      <c r="H484" s="3" t="s">
        <v>142</v>
      </c>
      <c r="I484" s="10">
        <v>2.1</v>
      </c>
    </row>
    <row r="485" spans="1:9" x14ac:dyDescent="0.25">
      <c r="A485" s="9">
        <v>45</v>
      </c>
      <c r="B485" s="3" t="s">
        <v>15</v>
      </c>
      <c r="C485" s="3">
        <v>37</v>
      </c>
      <c r="D485" s="3" t="s">
        <v>54</v>
      </c>
      <c r="E485" s="3" t="s">
        <v>72</v>
      </c>
      <c r="F485" s="3" t="s">
        <v>1216</v>
      </c>
      <c r="G485" s="3" t="s">
        <v>1217</v>
      </c>
      <c r="H485" s="3" t="s">
        <v>356</v>
      </c>
      <c r="I485" s="10">
        <v>2.7</v>
      </c>
    </row>
    <row r="486" spans="1:9" x14ac:dyDescent="0.25">
      <c r="A486" s="9">
        <v>445</v>
      </c>
      <c r="B486" s="3" t="s">
        <v>43</v>
      </c>
      <c r="C486" s="3">
        <v>41</v>
      </c>
      <c r="D486" s="3" t="s">
        <v>59</v>
      </c>
      <c r="E486" s="3" t="s">
        <v>60</v>
      </c>
      <c r="F486" s="3" t="s">
        <v>1218</v>
      </c>
      <c r="G486" s="3" t="s">
        <v>1219</v>
      </c>
      <c r="H486" s="3" t="s">
        <v>112</v>
      </c>
      <c r="I486" s="10">
        <v>3.5</v>
      </c>
    </row>
    <row r="487" spans="1:9" x14ac:dyDescent="0.25">
      <c r="A487" s="9">
        <v>276</v>
      </c>
      <c r="B487" s="3" t="s">
        <v>1220</v>
      </c>
      <c r="C487" s="3">
        <v>50</v>
      </c>
      <c r="D487" s="3" t="s">
        <v>59</v>
      </c>
      <c r="E487" s="3" t="s">
        <v>95</v>
      </c>
      <c r="F487" s="3" t="s">
        <v>1221</v>
      </c>
      <c r="G487" s="3" t="s">
        <v>1222</v>
      </c>
      <c r="H487" s="3" t="s">
        <v>37</v>
      </c>
      <c r="I487" s="10">
        <v>2.5</v>
      </c>
    </row>
    <row r="488" spans="1:9" x14ac:dyDescent="0.25">
      <c r="A488" s="9">
        <v>7</v>
      </c>
      <c r="B488" s="3" t="s">
        <v>813</v>
      </c>
      <c r="C488" s="3">
        <v>36</v>
      </c>
      <c r="D488" s="3" t="s">
        <v>10</v>
      </c>
      <c r="E488" s="3" t="s">
        <v>124</v>
      </c>
      <c r="F488" s="3" t="s">
        <v>1223</v>
      </c>
      <c r="G488" s="3" t="s">
        <v>1224</v>
      </c>
      <c r="H488" s="3" t="s">
        <v>20</v>
      </c>
      <c r="I488" s="10">
        <v>4.7</v>
      </c>
    </row>
    <row r="489" spans="1:9" x14ac:dyDescent="0.25">
      <c r="A489" s="9">
        <v>251</v>
      </c>
      <c r="B489" s="3" t="s">
        <v>429</v>
      </c>
      <c r="C489" s="3">
        <v>36</v>
      </c>
      <c r="D489" s="3" t="s">
        <v>10</v>
      </c>
      <c r="E489" s="3" t="s">
        <v>144</v>
      </c>
      <c r="F489" s="3" t="s">
        <v>1225</v>
      </c>
      <c r="G489" s="3" t="s">
        <v>1226</v>
      </c>
      <c r="H489" s="3" t="s">
        <v>169</v>
      </c>
      <c r="I489" s="10">
        <v>3.1</v>
      </c>
    </row>
    <row r="490" spans="1:9" x14ac:dyDescent="0.25">
      <c r="A490" s="9">
        <v>312</v>
      </c>
      <c r="B490" s="3" t="s">
        <v>1227</v>
      </c>
      <c r="C490" s="3">
        <v>58</v>
      </c>
      <c r="D490" s="3" t="s">
        <v>39</v>
      </c>
      <c r="E490" s="3" t="s">
        <v>11</v>
      </c>
      <c r="F490" s="3" t="s">
        <v>1228</v>
      </c>
      <c r="G490" s="3" t="s">
        <v>1229</v>
      </c>
      <c r="H490" s="3" t="s">
        <v>142</v>
      </c>
      <c r="I490" s="10">
        <v>1.9</v>
      </c>
    </row>
    <row r="491" spans="1:9" x14ac:dyDescent="0.25">
      <c r="A491" s="9">
        <v>76</v>
      </c>
      <c r="B491" s="3" t="s">
        <v>890</v>
      </c>
      <c r="C491" s="3">
        <v>43</v>
      </c>
      <c r="D491" s="3" t="s">
        <v>39</v>
      </c>
      <c r="E491" s="3" t="s">
        <v>40</v>
      </c>
      <c r="F491" s="3" t="s">
        <v>1230</v>
      </c>
      <c r="G491" s="3" t="s">
        <v>1231</v>
      </c>
      <c r="H491" s="3" t="s">
        <v>52</v>
      </c>
      <c r="I491" s="10">
        <v>3.9</v>
      </c>
    </row>
    <row r="492" spans="1:9" x14ac:dyDescent="0.25">
      <c r="A492" s="9">
        <v>1</v>
      </c>
      <c r="B492" s="3" t="s">
        <v>471</v>
      </c>
      <c r="C492" s="3">
        <v>56</v>
      </c>
      <c r="D492" s="3" t="s">
        <v>48</v>
      </c>
      <c r="E492" s="3" t="s">
        <v>386</v>
      </c>
      <c r="F492" s="3" t="s">
        <v>1232</v>
      </c>
      <c r="G492" s="3" t="s">
        <v>1233</v>
      </c>
      <c r="H492" s="3" t="s">
        <v>67</v>
      </c>
      <c r="I492" s="10">
        <v>1.6</v>
      </c>
    </row>
    <row r="493" spans="1:9" x14ac:dyDescent="0.25">
      <c r="A493" s="9">
        <v>429</v>
      </c>
      <c r="B493" s="3" t="s">
        <v>414</v>
      </c>
      <c r="C493" s="3">
        <v>50</v>
      </c>
      <c r="D493" s="3" t="s">
        <v>59</v>
      </c>
      <c r="E493" s="3" t="s">
        <v>255</v>
      </c>
      <c r="F493" s="3" t="s">
        <v>378</v>
      </c>
      <c r="G493" s="3" t="s">
        <v>1234</v>
      </c>
      <c r="H493" s="3" t="s">
        <v>136</v>
      </c>
      <c r="I493" s="10">
        <v>2.6</v>
      </c>
    </row>
    <row r="494" spans="1:9" x14ac:dyDescent="0.25">
      <c r="A494" s="9">
        <v>392</v>
      </c>
      <c r="B494" s="3" t="s">
        <v>127</v>
      </c>
      <c r="C494" s="3">
        <v>43</v>
      </c>
      <c r="D494" s="3" t="s">
        <v>54</v>
      </c>
      <c r="E494" s="3" t="s">
        <v>255</v>
      </c>
      <c r="F494" s="3" t="s">
        <v>1235</v>
      </c>
      <c r="G494" s="3" t="s">
        <v>1236</v>
      </c>
      <c r="H494" s="3" t="s">
        <v>356</v>
      </c>
      <c r="I494" s="10">
        <v>2.4</v>
      </c>
    </row>
    <row r="495" spans="1:9" x14ac:dyDescent="0.25">
      <c r="A495" s="9">
        <v>384</v>
      </c>
      <c r="B495" s="3" t="s">
        <v>1066</v>
      </c>
      <c r="C495" s="3">
        <v>33</v>
      </c>
      <c r="D495" s="3" t="s">
        <v>54</v>
      </c>
      <c r="E495" s="3" t="s">
        <v>106</v>
      </c>
      <c r="F495" s="3" t="s">
        <v>1237</v>
      </c>
      <c r="G495" s="3" t="s">
        <v>1238</v>
      </c>
      <c r="H495" s="3" t="s">
        <v>20</v>
      </c>
      <c r="I495" s="10">
        <v>1.4</v>
      </c>
    </row>
    <row r="496" spans="1:9" x14ac:dyDescent="0.25">
      <c r="A496" s="9">
        <v>433</v>
      </c>
      <c r="B496" s="3" t="s">
        <v>337</v>
      </c>
      <c r="C496" s="3">
        <v>27</v>
      </c>
      <c r="D496" s="3" t="s">
        <v>48</v>
      </c>
      <c r="E496" s="3" t="s">
        <v>193</v>
      </c>
      <c r="F496" s="3" t="s">
        <v>1239</v>
      </c>
      <c r="G496" s="3" t="s">
        <v>1240</v>
      </c>
      <c r="H496" s="3" t="s">
        <v>63</v>
      </c>
      <c r="I496" s="10">
        <v>1.1000000000000001</v>
      </c>
    </row>
    <row r="497" spans="1:9" x14ac:dyDescent="0.25">
      <c r="A497" s="9">
        <v>69</v>
      </c>
      <c r="B497" s="3" t="s">
        <v>466</v>
      </c>
      <c r="C497" s="3">
        <v>31</v>
      </c>
      <c r="D497" s="3" t="s">
        <v>59</v>
      </c>
      <c r="E497" s="3" t="s">
        <v>40</v>
      </c>
      <c r="F497" s="3" t="s">
        <v>1241</v>
      </c>
      <c r="G497" s="3" t="s">
        <v>1242</v>
      </c>
      <c r="H497" s="3" t="s">
        <v>46</v>
      </c>
      <c r="I497" s="10">
        <v>4.8</v>
      </c>
    </row>
    <row r="498" spans="1:9" x14ac:dyDescent="0.25">
      <c r="A498" s="9">
        <v>487</v>
      </c>
      <c r="B498" s="3" t="s">
        <v>385</v>
      </c>
      <c r="C498" s="3">
        <v>53</v>
      </c>
      <c r="D498" s="3" t="s">
        <v>10</v>
      </c>
      <c r="E498" s="3" t="s">
        <v>124</v>
      </c>
      <c r="F498" s="3" t="s">
        <v>1243</v>
      </c>
      <c r="G498" s="3" t="s">
        <v>1244</v>
      </c>
      <c r="H498" s="3" t="s">
        <v>142</v>
      </c>
      <c r="I498" s="10">
        <v>2.4</v>
      </c>
    </row>
    <row r="499" spans="1:9" x14ac:dyDescent="0.25">
      <c r="A499" s="9">
        <v>168</v>
      </c>
      <c r="B499" s="3" t="s">
        <v>1245</v>
      </c>
      <c r="C499" s="3">
        <v>26</v>
      </c>
      <c r="D499" s="3" t="s">
        <v>54</v>
      </c>
      <c r="E499" s="3" t="s">
        <v>351</v>
      </c>
      <c r="F499" s="3" t="s">
        <v>1246</v>
      </c>
      <c r="G499" s="3" t="s">
        <v>1247</v>
      </c>
      <c r="H499" s="3" t="s">
        <v>232</v>
      </c>
      <c r="I499" s="10">
        <v>3.3</v>
      </c>
    </row>
    <row r="500" spans="1:9" x14ac:dyDescent="0.25">
      <c r="A500" s="9">
        <v>393</v>
      </c>
      <c r="B500" s="3" t="s">
        <v>1248</v>
      </c>
      <c r="C500" s="3">
        <v>54</v>
      </c>
      <c r="D500" s="3" t="s">
        <v>16</v>
      </c>
      <c r="E500" s="3" t="s">
        <v>193</v>
      </c>
      <c r="F500" s="3" t="s">
        <v>1249</v>
      </c>
      <c r="G500" s="3" t="s">
        <v>1250</v>
      </c>
      <c r="H500" s="3" t="s">
        <v>333</v>
      </c>
      <c r="I500" s="10">
        <v>3.5</v>
      </c>
    </row>
    <row r="501" spans="1:9" x14ac:dyDescent="0.25">
      <c r="A501" s="9">
        <v>219</v>
      </c>
      <c r="B501" s="3" t="s">
        <v>233</v>
      </c>
      <c r="C501" s="3">
        <v>20</v>
      </c>
      <c r="D501" s="3" t="s">
        <v>39</v>
      </c>
      <c r="E501" s="3" t="s">
        <v>124</v>
      </c>
      <c r="F501" s="3" t="s">
        <v>1251</v>
      </c>
      <c r="G501" s="3" t="s">
        <v>1252</v>
      </c>
      <c r="H501" s="3" t="s">
        <v>156</v>
      </c>
      <c r="I501" s="10">
        <v>1.1000000000000001</v>
      </c>
    </row>
    <row r="502" spans="1:9" x14ac:dyDescent="0.25">
      <c r="A502" s="9">
        <v>43</v>
      </c>
      <c r="B502" s="3" t="s">
        <v>289</v>
      </c>
      <c r="C502" s="3">
        <v>43</v>
      </c>
      <c r="D502" s="3" t="s">
        <v>28</v>
      </c>
      <c r="E502" s="3" t="s">
        <v>106</v>
      </c>
      <c r="F502" s="3" t="s">
        <v>1253</v>
      </c>
      <c r="G502" s="3" t="s">
        <v>1254</v>
      </c>
      <c r="H502" s="3" t="s">
        <v>156</v>
      </c>
      <c r="I502" s="10">
        <v>4.8</v>
      </c>
    </row>
    <row r="503" spans="1:9" x14ac:dyDescent="0.25">
      <c r="A503" s="9">
        <v>367</v>
      </c>
      <c r="B503" s="3" t="s">
        <v>220</v>
      </c>
      <c r="C503" s="3">
        <v>42</v>
      </c>
      <c r="D503" s="3" t="s">
        <v>22</v>
      </c>
      <c r="E503" s="3" t="s">
        <v>193</v>
      </c>
      <c r="F503" s="3" t="s">
        <v>1255</v>
      </c>
      <c r="G503" s="3" t="s">
        <v>1256</v>
      </c>
      <c r="H503" s="3" t="s">
        <v>20</v>
      </c>
      <c r="I503" s="10">
        <v>3</v>
      </c>
    </row>
    <row r="504" spans="1:9" x14ac:dyDescent="0.25">
      <c r="A504" s="9">
        <v>346</v>
      </c>
      <c r="B504" s="3" t="s">
        <v>1015</v>
      </c>
      <c r="C504" s="3">
        <v>43</v>
      </c>
      <c r="D504" s="3" t="s">
        <v>28</v>
      </c>
      <c r="E504" s="3" t="s">
        <v>193</v>
      </c>
      <c r="F504" s="3" t="s">
        <v>497</v>
      </c>
      <c r="G504" s="3" t="s">
        <v>1257</v>
      </c>
      <c r="H504" s="3" t="s">
        <v>136</v>
      </c>
      <c r="I504" s="10">
        <v>4.2</v>
      </c>
    </row>
    <row r="505" spans="1:9" x14ac:dyDescent="0.25">
      <c r="A505" s="9">
        <v>73</v>
      </c>
      <c r="B505" s="3" t="s">
        <v>389</v>
      </c>
      <c r="C505" s="3">
        <v>33</v>
      </c>
      <c r="D505" s="3" t="s">
        <v>39</v>
      </c>
      <c r="E505" s="3" t="s">
        <v>49</v>
      </c>
      <c r="F505" s="3" t="s">
        <v>1258</v>
      </c>
      <c r="G505" s="3" t="s">
        <v>1259</v>
      </c>
      <c r="H505" s="3" t="s">
        <v>169</v>
      </c>
      <c r="I505" s="10">
        <v>2.6</v>
      </c>
    </row>
    <row r="506" spans="1:9" x14ac:dyDescent="0.25">
      <c r="A506" s="9">
        <v>24</v>
      </c>
      <c r="B506" s="3" t="s">
        <v>1260</v>
      </c>
      <c r="C506" s="3">
        <v>29</v>
      </c>
      <c r="D506" s="3" t="s">
        <v>28</v>
      </c>
      <c r="E506" s="3" t="s">
        <v>351</v>
      </c>
      <c r="F506" s="3" t="s">
        <v>1261</v>
      </c>
      <c r="G506" s="3" t="s">
        <v>1262</v>
      </c>
      <c r="H506" s="3" t="s">
        <v>52</v>
      </c>
      <c r="I506" s="10"/>
    </row>
    <row r="507" spans="1:9" x14ac:dyDescent="0.25">
      <c r="A507" s="9">
        <v>399</v>
      </c>
      <c r="B507" s="3" t="s">
        <v>623</v>
      </c>
      <c r="C507" s="3">
        <v>18</v>
      </c>
      <c r="D507" s="3" t="s">
        <v>54</v>
      </c>
      <c r="E507" s="3" t="s">
        <v>88</v>
      </c>
      <c r="F507" s="3" t="s">
        <v>1263</v>
      </c>
      <c r="G507" s="3" t="s">
        <v>1264</v>
      </c>
      <c r="H507" s="3" t="s">
        <v>356</v>
      </c>
      <c r="I507" s="10">
        <v>1.5</v>
      </c>
    </row>
    <row r="508" spans="1:9" x14ac:dyDescent="0.25">
      <c r="A508" s="9">
        <v>186</v>
      </c>
      <c r="B508" s="3" t="s">
        <v>76</v>
      </c>
      <c r="C508" s="3">
        <v>45</v>
      </c>
      <c r="D508" s="3" t="s">
        <v>39</v>
      </c>
      <c r="E508" s="3" t="s">
        <v>81</v>
      </c>
      <c r="F508" s="3" t="s">
        <v>1265</v>
      </c>
      <c r="G508" s="3" t="s">
        <v>1266</v>
      </c>
      <c r="H508" s="3" t="s">
        <v>142</v>
      </c>
      <c r="I508" s="10">
        <v>3.8</v>
      </c>
    </row>
    <row r="509" spans="1:9" x14ac:dyDescent="0.25">
      <c r="A509" s="9">
        <v>349</v>
      </c>
      <c r="B509" s="3" t="s">
        <v>277</v>
      </c>
      <c r="C509" s="3">
        <v>41</v>
      </c>
      <c r="D509" s="3" t="s">
        <v>59</v>
      </c>
      <c r="E509" s="3" t="s">
        <v>11</v>
      </c>
      <c r="F509" s="3" t="s">
        <v>1267</v>
      </c>
      <c r="G509" s="3" t="s">
        <v>1268</v>
      </c>
      <c r="H509" s="3" t="s">
        <v>20</v>
      </c>
      <c r="I509" s="10">
        <v>4.5</v>
      </c>
    </row>
    <row r="510" spans="1:9" x14ac:dyDescent="0.25">
      <c r="A510" s="9">
        <v>104</v>
      </c>
      <c r="B510" s="3" t="s">
        <v>872</v>
      </c>
      <c r="C510" s="3">
        <v>51</v>
      </c>
      <c r="D510" s="3" t="s">
        <v>39</v>
      </c>
      <c r="E510" s="3" t="s">
        <v>81</v>
      </c>
      <c r="F510" s="3" t="s">
        <v>1269</v>
      </c>
      <c r="G510" s="3" t="s">
        <v>1270</v>
      </c>
      <c r="H510" s="3" t="s">
        <v>79</v>
      </c>
      <c r="I510" s="10">
        <v>2.7</v>
      </c>
    </row>
    <row r="511" spans="1:9" x14ac:dyDescent="0.25">
      <c r="A511" s="9">
        <v>408</v>
      </c>
      <c r="B511" s="3" t="s">
        <v>477</v>
      </c>
      <c r="C511" s="3">
        <v>39</v>
      </c>
      <c r="D511" s="3" t="s">
        <v>54</v>
      </c>
      <c r="E511" s="3"/>
      <c r="F511" s="3" t="s">
        <v>1271</v>
      </c>
      <c r="G511" s="3" t="s">
        <v>1272</v>
      </c>
      <c r="H511" s="3" t="s">
        <v>79</v>
      </c>
      <c r="I511" s="10">
        <v>2.1</v>
      </c>
    </row>
    <row r="512" spans="1:9" x14ac:dyDescent="0.25">
      <c r="A512" s="9">
        <v>212</v>
      </c>
      <c r="B512" s="3" t="s">
        <v>570</v>
      </c>
      <c r="C512" s="3">
        <v>33</v>
      </c>
      <c r="D512" s="3" t="s">
        <v>10</v>
      </c>
      <c r="E512" s="3" t="s">
        <v>72</v>
      </c>
      <c r="F512" s="3" t="s">
        <v>1273</v>
      </c>
      <c r="G512" s="3" t="s">
        <v>1274</v>
      </c>
      <c r="H512" s="3" t="s">
        <v>75</v>
      </c>
      <c r="I512" s="10">
        <v>4.8</v>
      </c>
    </row>
    <row r="513" spans="1:9" x14ac:dyDescent="0.25">
      <c r="A513" s="9">
        <v>68</v>
      </c>
      <c r="B513" s="3" t="s">
        <v>1174</v>
      </c>
      <c r="C513" s="3">
        <v>25</v>
      </c>
      <c r="D513" s="3" t="s">
        <v>48</v>
      </c>
      <c r="E513" s="3" t="s">
        <v>40</v>
      </c>
      <c r="F513" s="3" t="s">
        <v>1175</v>
      </c>
      <c r="G513" s="3" t="s">
        <v>1176</v>
      </c>
      <c r="H513" s="3" t="s">
        <v>169</v>
      </c>
      <c r="I513" s="10">
        <v>4.4000000000000004</v>
      </c>
    </row>
    <row r="514" spans="1:9" x14ac:dyDescent="0.25">
      <c r="A514" s="9">
        <v>48</v>
      </c>
      <c r="B514" s="3" t="s">
        <v>1066</v>
      </c>
      <c r="C514" s="3">
        <v>25</v>
      </c>
      <c r="D514" s="3" t="s">
        <v>10</v>
      </c>
      <c r="E514" s="3" t="s">
        <v>49</v>
      </c>
      <c r="F514" s="3" t="s">
        <v>1275</v>
      </c>
      <c r="G514" s="3" t="s">
        <v>1068</v>
      </c>
      <c r="H514" s="3" t="s">
        <v>115</v>
      </c>
      <c r="I514" s="10">
        <v>3</v>
      </c>
    </row>
    <row r="515" spans="1:9" x14ac:dyDescent="0.25">
      <c r="A515" s="9">
        <v>197</v>
      </c>
      <c r="B515" s="3" t="s">
        <v>166</v>
      </c>
      <c r="C515" s="3">
        <v>49</v>
      </c>
      <c r="D515" s="3" t="s">
        <v>28</v>
      </c>
      <c r="E515" s="3" t="s">
        <v>144</v>
      </c>
      <c r="F515" s="3" t="s">
        <v>1276</v>
      </c>
      <c r="G515" s="3" t="s">
        <v>1277</v>
      </c>
      <c r="H515" s="3" t="s">
        <v>136</v>
      </c>
      <c r="I515" s="10">
        <v>1.5</v>
      </c>
    </row>
    <row r="516" spans="1:9" x14ac:dyDescent="0.25">
      <c r="A516" s="14">
        <v>176</v>
      </c>
      <c r="B516" s="15" t="s">
        <v>334</v>
      </c>
      <c r="C516" s="15">
        <v>41</v>
      </c>
      <c r="D516" s="15" t="s">
        <v>22</v>
      </c>
      <c r="E516" s="15" t="s">
        <v>55</v>
      </c>
      <c r="F516" s="15" t="s">
        <v>1278</v>
      </c>
      <c r="G516" s="15" t="s">
        <v>1279</v>
      </c>
      <c r="H516" s="15" t="s">
        <v>75</v>
      </c>
      <c r="I516" s="16">
        <v>3.4</v>
      </c>
    </row>
    <row r="518" spans="1:9" x14ac:dyDescent="0.25">
      <c r="A518" s="4"/>
      <c r="B518" s="4"/>
      <c r="C518" s="4"/>
      <c r="D518" s="4"/>
      <c r="E518" s="4"/>
      <c r="F518" s="4"/>
      <c r="G518" s="4"/>
      <c r="H518" s="4"/>
      <c r="I518" s="4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EF89C-EA03-4502-AD1D-D7325C3719C2}">
  <dimension ref="A1:C9"/>
  <sheetViews>
    <sheetView zoomScaleNormal="100" workbookViewId="0">
      <selection activeCell="B15" sqref="B15"/>
    </sheetView>
  </sheetViews>
  <sheetFormatPr baseColWidth="10" defaultColWidth="8.7109375" defaultRowHeight="15" x14ac:dyDescent="0.25"/>
  <cols>
    <col min="1" max="1" width="16.42578125" bestFit="1" customWidth="1"/>
    <col min="2" max="2" width="68" bestFit="1" customWidth="1"/>
    <col min="3" max="3" width="52.140625" bestFit="1" customWidth="1"/>
  </cols>
  <sheetData>
    <row r="1" spans="1:3" ht="18.75" x14ac:dyDescent="0.3">
      <c r="A1" s="42" t="s">
        <v>1344</v>
      </c>
      <c r="B1" s="42" t="s">
        <v>1345</v>
      </c>
      <c r="C1" s="42" t="s">
        <v>1346</v>
      </c>
    </row>
    <row r="2" spans="1:3" ht="18.75" x14ac:dyDescent="0.3">
      <c r="A2" s="43" t="s">
        <v>0</v>
      </c>
      <c r="B2" s="44" t="s">
        <v>1359</v>
      </c>
      <c r="C2" s="44" t="s">
        <v>1360</v>
      </c>
    </row>
    <row r="3" spans="1:3" ht="18.75" x14ac:dyDescent="0.25">
      <c r="A3" s="45" t="s">
        <v>2</v>
      </c>
      <c r="B3" s="46" t="s">
        <v>1347</v>
      </c>
      <c r="C3" s="46" t="s">
        <v>1348</v>
      </c>
    </row>
    <row r="4" spans="1:3" ht="18.75" x14ac:dyDescent="0.25">
      <c r="A4" s="45" t="s">
        <v>3</v>
      </c>
      <c r="B4" s="46" t="s">
        <v>1349</v>
      </c>
      <c r="C4" s="46" t="s">
        <v>1350</v>
      </c>
    </row>
    <row r="5" spans="1:3" ht="37.5" x14ac:dyDescent="0.25">
      <c r="A5" s="45" t="s">
        <v>4</v>
      </c>
      <c r="B5" s="46" t="s">
        <v>1351</v>
      </c>
      <c r="C5" s="46" t="s">
        <v>1352</v>
      </c>
    </row>
    <row r="6" spans="1:3" ht="37.5" x14ac:dyDescent="0.25">
      <c r="A6" s="45" t="s">
        <v>5</v>
      </c>
      <c r="B6" s="46" t="s">
        <v>1353</v>
      </c>
      <c r="C6" s="46" t="s">
        <v>1354</v>
      </c>
    </row>
    <row r="7" spans="1:3" ht="37.5" x14ac:dyDescent="0.25">
      <c r="A7" s="45" t="s">
        <v>6</v>
      </c>
      <c r="B7" s="46" t="s">
        <v>1355</v>
      </c>
      <c r="C7" s="46" t="s">
        <v>1356</v>
      </c>
    </row>
    <row r="8" spans="1:3" ht="37.5" x14ac:dyDescent="0.25">
      <c r="A8" s="45" t="s">
        <v>7</v>
      </c>
      <c r="B8" s="46" t="s">
        <v>1349</v>
      </c>
      <c r="C8" s="46" t="s">
        <v>1357</v>
      </c>
    </row>
    <row r="9" spans="1:3" ht="18.75" x14ac:dyDescent="0.25">
      <c r="A9" s="45" t="s">
        <v>8</v>
      </c>
      <c r="B9" s="46" t="s">
        <v>1358</v>
      </c>
      <c r="C9" s="46" t="s">
        <v>1348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85"/>
  <sheetViews>
    <sheetView zoomScaleNormal="100" workbookViewId="0">
      <selection activeCell="J15" sqref="J15"/>
    </sheetView>
  </sheetViews>
  <sheetFormatPr baseColWidth="10" defaultColWidth="8.7109375" defaultRowHeight="15" x14ac:dyDescent="0.25"/>
  <cols>
    <col min="1" max="1" width="5.140625" bestFit="1" customWidth="1"/>
    <col min="2" max="2" width="11.42578125" bestFit="1" customWidth="1"/>
    <col min="3" max="3" width="6.7109375" bestFit="1" customWidth="1"/>
    <col min="4" max="4" width="10" bestFit="1" customWidth="1"/>
    <col min="5" max="5" width="11.5703125" bestFit="1" customWidth="1"/>
    <col min="6" max="6" width="12" bestFit="1" customWidth="1"/>
    <col min="7" max="7" width="19.5703125" bestFit="1" customWidth="1"/>
    <col min="8" max="8" width="19.140625" bestFit="1" customWidth="1"/>
    <col min="9" max="9" width="8.85546875" bestFit="1" customWidth="1"/>
    <col min="10" max="10" width="16" customWidth="1"/>
    <col min="11" max="11" width="17.5703125" bestFit="1" customWidth="1"/>
    <col min="12" max="12" width="25.42578125" bestFit="1" customWidth="1"/>
    <col min="13" max="13" width="29.42578125" bestFit="1" customWidth="1"/>
    <col min="14" max="18" width="16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8" x14ac:dyDescent="0.25">
      <c r="A2" s="19">
        <v>490</v>
      </c>
      <c r="B2" s="17" t="s">
        <v>9</v>
      </c>
      <c r="C2" s="19">
        <v>26</v>
      </c>
      <c r="D2" s="17" t="s">
        <v>39</v>
      </c>
      <c r="E2" s="17" t="s">
        <v>106</v>
      </c>
      <c r="F2" s="18">
        <v>45735</v>
      </c>
      <c r="G2" s="20">
        <v>7883</v>
      </c>
      <c r="H2" s="17" t="s">
        <v>112</v>
      </c>
      <c r="I2">
        <v>2.6</v>
      </c>
    </row>
    <row r="3" spans="1:18" x14ac:dyDescent="0.25">
      <c r="A3" s="19">
        <v>430</v>
      </c>
      <c r="B3" s="17" t="s">
        <v>15</v>
      </c>
      <c r="C3" s="19">
        <v>47</v>
      </c>
      <c r="D3" s="17" t="s">
        <v>39</v>
      </c>
      <c r="E3" s="17" t="s">
        <v>351</v>
      </c>
      <c r="F3" s="18">
        <v>45350</v>
      </c>
      <c r="G3" s="20">
        <v>19196</v>
      </c>
      <c r="H3" s="17" t="s">
        <v>67</v>
      </c>
      <c r="I3">
        <v>4.5999999999999996</v>
      </c>
    </row>
    <row r="4" spans="1:18" x14ac:dyDescent="0.25">
      <c r="A4" s="19">
        <v>83</v>
      </c>
      <c r="B4" s="17" t="s">
        <v>21</v>
      </c>
      <c r="C4" s="19">
        <v>24</v>
      </c>
      <c r="D4" s="17" t="s">
        <v>59</v>
      </c>
      <c r="E4" s="17" t="s">
        <v>351</v>
      </c>
      <c r="F4" s="18">
        <v>44701</v>
      </c>
      <c r="G4" s="20">
        <v>17412</v>
      </c>
      <c r="H4" s="17" t="s">
        <v>26</v>
      </c>
      <c r="I4">
        <v>1.4</v>
      </c>
      <c r="J4" s="52"/>
      <c r="K4" s="52"/>
      <c r="L4" s="52"/>
      <c r="M4" s="52"/>
      <c r="N4" s="52"/>
      <c r="O4" s="52"/>
      <c r="P4" s="52"/>
      <c r="Q4" s="52"/>
      <c r="R4" s="52"/>
    </row>
    <row r="5" spans="1:18" x14ac:dyDescent="0.25">
      <c r="A5" s="19">
        <v>121</v>
      </c>
      <c r="B5" s="17" t="s">
        <v>27</v>
      </c>
      <c r="C5" s="19">
        <v>41</v>
      </c>
      <c r="D5" s="17" t="s">
        <v>39</v>
      </c>
      <c r="E5" s="17" t="s">
        <v>351</v>
      </c>
      <c r="F5" s="18">
        <v>45093</v>
      </c>
      <c r="G5" s="20">
        <v>6142</v>
      </c>
      <c r="H5" s="17" t="s">
        <v>112</v>
      </c>
      <c r="I5">
        <v>2.9</v>
      </c>
    </row>
    <row r="6" spans="1:18" x14ac:dyDescent="0.25">
      <c r="A6" s="19">
        <v>222</v>
      </c>
      <c r="B6" s="17" t="s">
        <v>33</v>
      </c>
      <c r="C6" s="19">
        <v>49</v>
      </c>
      <c r="D6" s="17" t="s">
        <v>39</v>
      </c>
      <c r="E6" s="17" t="s">
        <v>34</v>
      </c>
      <c r="F6" s="18">
        <v>45004</v>
      </c>
      <c r="G6" s="20">
        <v>6369</v>
      </c>
      <c r="H6" s="17" t="s">
        <v>67</v>
      </c>
      <c r="I6">
        <v>4.7</v>
      </c>
    </row>
    <row r="7" spans="1:18" x14ac:dyDescent="0.25">
      <c r="A7" s="19">
        <v>148</v>
      </c>
      <c r="B7" s="17" t="s">
        <v>38</v>
      </c>
      <c r="C7" s="19">
        <v>59</v>
      </c>
      <c r="D7" s="17" t="s">
        <v>39</v>
      </c>
      <c r="E7" s="17" t="s">
        <v>40</v>
      </c>
      <c r="F7" s="18">
        <v>45323</v>
      </c>
      <c r="G7" s="20">
        <v>18117</v>
      </c>
      <c r="H7" s="17" t="s">
        <v>67</v>
      </c>
      <c r="I7">
        <v>4.5</v>
      </c>
    </row>
    <row r="8" spans="1:18" x14ac:dyDescent="0.25">
      <c r="A8" s="19">
        <v>33</v>
      </c>
      <c r="B8" s="17" t="s">
        <v>43</v>
      </c>
      <c r="C8" s="19">
        <v>54</v>
      </c>
      <c r="D8" s="17" t="s">
        <v>39</v>
      </c>
      <c r="E8" s="17" t="s">
        <v>40</v>
      </c>
      <c r="F8" s="18">
        <v>45141</v>
      </c>
      <c r="G8" s="20">
        <v>11274</v>
      </c>
      <c r="H8" s="17" t="s">
        <v>46</v>
      </c>
      <c r="I8">
        <v>1.7</v>
      </c>
    </row>
    <row r="9" spans="1:18" x14ac:dyDescent="0.25">
      <c r="A9" s="19">
        <v>386</v>
      </c>
      <c r="B9" s="17" t="s">
        <v>47</v>
      </c>
      <c r="C9" s="19">
        <v>59</v>
      </c>
      <c r="D9" s="17" t="s">
        <v>59</v>
      </c>
      <c r="E9" s="17" t="s">
        <v>40</v>
      </c>
      <c r="F9" s="18">
        <v>45662</v>
      </c>
      <c r="G9" s="20">
        <v>1442</v>
      </c>
      <c r="H9" s="17" t="s">
        <v>67</v>
      </c>
      <c r="I9">
        <v>3.8</v>
      </c>
    </row>
    <row r="10" spans="1:18" x14ac:dyDescent="0.25">
      <c r="A10" s="19">
        <v>201</v>
      </c>
      <c r="B10" s="17" t="s">
        <v>53</v>
      </c>
      <c r="C10" s="19">
        <v>55</v>
      </c>
      <c r="D10" s="17" t="s">
        <v>59</v>
      </c>
      <c r="E10" s="17" t="s">
        <v>106</v>
      </c>
      <c r="F10" s="18">
        <v>45580</v>
      </c>
      <c r="G10" s="20">
        <v>9621</v>
      </c>
      <c r="H10" s="17" t="s">
        <v>26</v>
      </c>
      <c r="I10">
        <v>3.2</v>
      </c>
    </row>
    <row r="11" spans="1:18" x14ac:dyDescent="0.25">
      <c r="A11" s="19">
        <v>482</v>
      </c>
      <c r="B11" s="17" t="s">
        <v>58</v>
      </c>
      <c r="C11" s="19">
        <v>28</v>
      </c>
      <c r="D11" s="17" t="s">
        <v>59</v>
      </c>
      <c r="E11" s="17" t="s">
        <v>40</v>
      </c>
      <c r="F11" s="18">
        <v>45586</v>
      </c>
      <c r="G11" s="20">
        <v>11497</v>
      </c>
      <c r="H11" s="17" t="s">
        <v>26</v>
      </c>
      <c r="I11">
        <v>3.2</v>
      </c>
    </row>
    <row r="12" spans="1:18" x14ac:dyDescent="0.25">
      <c r="A12" s="19">
        <v>296</v>
      </c>
      <c r="B12" s="17" t="s">
        <v>64</v>
      </c>
      <c r="C12" s="19">
        <v>51</v>
      </c>
      <c r="D12" s="17" t="s">
        <v>39</v>
      </c>
      <c r="E12" s="17" t="s">
        <v>40</v>
      </c>
      <c r="F12" s="18">
        <v>45029</v>
      </c>
      <c r="G12" s="20">
        <v>12872</v>
      </c>
      <c r="H12" s="17" t="s">
        <v>67</v>
      </c>
      <c r="I12">
        <v>1.9</v>
      </c>
    </row>
    <row r="13" spans="1:18" x14ac:dyDescent="0.25">
      <c r="A13" s="19">
        <v>262</v>
      </c>
      <c r="B13" s="17" t="s">
        <v>68</v>
      </c>
      <c r="C13" s="19">
        <v>57</v>
      </c>
      <c r="D13" s="17" t="s">
        <v>59</v>
      </c>
      <c r="E13" s="17" t="s">
        <v>351</v>
      </c>
      <c r="F13" s="18">
        <v>45528</v>
      </c>
      <c r="G13" s="20">
        <v>4532</v>
      </c>
      <c r="H13" s="17" t="s">
        <v>67</v>
      </c>
      <c r="I13">
        <v>4.0999999999999996</v>
      </c>
    </row>
    <row r="14" spans="1:18" x14ac:dyDescent="0.25">
      <c r="A14" s="19">
        <v>434</v>
      </c>
      <c r="B14" s="17" t="s">
        <v>71</v>
      </c>
      <c r="C14" s="19">
        <v>22</v>
      </c>
      <c r="D14" s="17" t="s">
        <v>59</v>
      </c>
      <c r="E14" s="17" t="s">
        <v>81</v>
      </c>
      <c r="F14" s="18">
        <v>44877</v>
      </c>
      <c r="G14" s="20">
        <v>12890</v>
      </c>
      <c r="H14" s="17" t="s">
        <v>75</v>
      </c>
      <c r="I14">
        <v>3.6</v>
      </c>
    </row>
    <row r="15" spans="1:18" x14ac:dyDescent="0.25">
      <c r="A15" s="19">
        <v>475</v>
      </c>
      <c r="B15" s="17" t="s">
        <v>76</v>
      </c>
      <c r="C15" s="19">
        <v>43</v>
      </c>
      <c r="D15" s="17" t="s">
        <v>59</v>
      </c>
      <c r="E15" s="17" t="s">
        <v>40</v>
      </c>
      <c r="F15" s="18">
        <v>45251</v>
      </c>
      <c r="G15" s="20">
        <v>893</v>
      </c>
      <c r="H15" s="17" t="s">
        <v>112</v>
      </c>
      <c r="I15">
        <v>1.4</v>
      </c>
    </row>
    <row r="16" spans="1:18" x14ac:dyDescent="0.25">
      <c r="A16" s="19">
        <v>460</v>
      </c>
      <c r="B16" s="17" t="s">
        <v>80</v>
      </c>
      <c r="C16" s="19">
        <v>18</v>
      </c>
      <c r="D16" s="17" t="s">
        <v>39</v>
      </c>
      <c r="E16" s="17" t="s">
        <v>81</v>
      </c>
      <c r="F16" s="18">
        <v>44753</v>
      </c>
      <c r="G16" s="20">
        <v>11204</v>
      </c>
      <c r="H16" s="17" t="s">
        <v>112</v>
      </c>
      <c r="I16">
        <v>2.1</v>
      </c>
    </row>
    <row r="17" spans="1:9" x14ac:dyDescent="0.25">
      <c r="A17" s="19">
        <v>458</v>
      </c>
      <c r="B17" s="17" t="s">
        <v>84</v>
      </c>
      <c r="C17" s="19">
        <v>29</v>
      </c>
      <c r="D17" s="17" t="s">
        <v>39</v>
      </c>
      <c r="E17" s="17" t="s">
        <v>106</v>
      </c>
      <c r="F17" s="18">
        <v>45649</v>
      </c>
      <c r="G17" s="20">
        <v>14046</v>
      </c>
      <c r="H17" s="17" t="s">
        <v>75</v>
      </c>
      <c r="I17">
        <v>1.3</v>
      </c>
    </row>
    <row r="18" spans="1:9" x14ac:dyDescent="0.25">
      <c r="A18" s="19">
        <v>356</v>
      </c>
      <c r="B18" s="17" t="s">
        <v>87</v>
      </c>
      <c r="C18" s="19">
        <v>33</v>
      </c>
      <c r="D18" s="17" t="s">
        <v>59</v>
      </c>
      <c r="E18" s="17" t="s">
        <v>34</v>
      </c>
      <c r="F18" s="18">
        <v>45458</v>
      </c>
      <c r="G18" s="20">
        <v>11054</v>
      </c>
      <c r="H18" s="17" t="s">
        <v>67</v>
      </c>
      <c r="I18">
        <v>1.6</v>
      </c>
    </row>
    <row r="19" spans="1:9" x14ac:dyDescent="0.25">
      <c r="A19" s="19">
        <v>467</v>
      </c>
      <c r="B19" s="17" t="s">
        <v>91</v>
      </c>
      <c r="C19" s="19">
        <v>48</v>
      </c>
      <c r="D19" s="17" t="s">
        <v>39</v>
      </c>
      <c r="E19" s="17" t="s">
        <v>34</v>
      </c>
      <c r="F19" s="18">
        <v>44775</v>
      </c>
      <c r="G19" s="20">
        <v>18855</v>
      </c>
      <c r="H19" s="17" t="s">
        <v>112</v>
      </c>
      <c r="I19">
        <v>2.9</v>
      </c>
    </row>
    <row r="20" spans="1:9" x14ac:dyDescent="0.25">
      <c r="A20" s="19">
        <v>116</v>
      </c>
      <c r="B20" s="17" t="s">
        <v>94</v>
      </c>
      <c r="C20" s="19">
        <v>54</v>
      </c>
      <c r="D20" s="17" t="s">
        <v>59</v>
      </c>
      <c r="E20" s="17" t="s">
        <v>124</v>
      </c>
      <c r="F20" s="18">
        <v>45758</v>
      </c>
      <c r="G20" s="20">
        <v>19229</v>
      </c>
      <c r="H20" s="17" t="s">
        <v>67</v>
      </c>
      <c r="I20">
        <v>2.2000000000000002</v>
      </c>
    </row>
    <row r="21" spans="1:9" x14ac:dyDescent="0.25">
      <c r="A21" s="19">
        <v>404</v>
      </c>
      <c r="B21" s="17" t="s">
        <v>98</v>
      </c>
      <c r="C21" s="19">
        <v>18</v>
      </c>
      <c r="D21" s="17" t="s">
        <v>39</v>
      </c>
      <c r="E21" s="17" t="s">
        <v>40</v>
      </c>
      <c r="F21" s="18">
        <v>44878</v>
      </c>
      <c r="G21" s="20">
        <v>8262</v>
      </c>
      <c r="H21" s="17" t="s">
        <v>26</v>
      </c>
      <c r="I21">
        <v>3</v>
      </c>
    </row>
    <row r="22" spans="1:9" x14ac:dyDescent="0.25">
      <c r="A22" s="19">
        <v>14</v>
      </c>
      <c r="B22" s="17" t="s">
        <v>102</v>
      </c>
      <c r="C22" s="19">
        <v>41</v>
      </c>
      <c r="D22" s="17" t="s">
        <v>59</v>
      </c>
      <c r="E22" s="17" t="s">
        <v>81</v>
      </c>
      <c r="F22" s="18">
        <v>45571</v>
      </c>
      <c r="G22" s="20">
        <v>798</v>
      </c>
      <c r="H22" s="17" t="s">
        <v>67</v>
      </c>
      <c r="I22">
        <v>4.5</v>
      </c>
    </row>
    <row r="23" spans="1:9" x14ac:dyDescent="0.25">
      <c r="A23" s="19">
        <v>275</v>
      </c>
      <c r="B23" s="17" t="s">
        <v>105</v>
      </c>
      <c r="C23" s="19">
        <v>53</v>
      </c>
      <c r="D23" s="17" t="s">
        <v>59</v>
      </c>
      <c r="E23" s="17" t="s">
        <v>106</v>
      </c>
      <c r="F23" s="18">
        <v>45173</v>
      </c>
      <c r="G23" s="20">
        <v>16848</v>
      </c>
      <c r="H23" s="17" t="s">
        <v>67</v>
      </c>
      <c r="I23">
        <v>2.7</v>
      </c>
    </row>
    <row r="24" spans="1:9" x14ac:dyDescent="0.25">
      <c r="A24" s="19">
        <v>309</v>
      </c>
      <c r="B24" s="17" t="s">
        <v>109</v>
      </c>
      <c r="C24" s="19">
        <v>46</v>
      </c>
      <c r="D24" s="17" t="s">
        <v>59</v>
      </c>
      <c r="E24" s="17" t="s">
        <v>106</v>
      </c>
      <c r="F24" s="18">
        <v>45579</v>
      </c>
      <c r="G24" s="20">
        <v>9895</v>
      </c>
      <c r="H24" s="17" t="s">
        <v>112</v>
      </c>
      <c r="I24">
        <v>1.6</v>
      </c>
    </row>
    <row r="25" spans="1:9" x14ac:dyDescent="0.25">
      <c r="A25" s="19">
        <v>337</v>
      </c>
      <c r="B25" s="17" t="s">
        <v>116</v>
      </c>
      <c r="C25" s="19">
        <v>19</v>
      </c>
      <c r="D25" s="17" t="s">
        <v>39</v>
      </c>
      <c r="E25" s="17" t="s">
        <v>81</v>
      </c>
      <c r="F25" s="18">
        <v>45646</v>
      </c>
      <c r="G25" s="20">
        <v>14018</v>
      </c>
      <c r="H25" s="17" t="s">
        <v>75</v>
      </c>
      <c r="I25">
        <v>3</v>
      </c>
    </row>
    <row r="26" spans="1:9" x14ac:dyDescent="0.25">
      <c r="A26" s="19">
        <v>498</v>
      </c>
      <c r="B26" s="17" t="s">
        <v>119</v>
      </c>
      <c r="C26" s="19">
        <v>41</v>
      </c>
      <c r="D26" s="17" t="s">
        <v>59</v>
      </c>
      <c r="E26" s="17" t="s">
        <v>81</v>
      </c>
      <c r="F26" s="18">
        <v>45423</v>
      </c>
      <c r="G26" s="20">
        <v>13735</v>
      </c>
      <c r="H26" s="17" t="s">
        <v>26</v>
      </c>
      <c r="I26">
        <v>3.5</v>
      </c>
    </row>
    <row r="27" spans="1:9" x14ac:dyDescent="0.25">
      <c r="A27" s="19">
        <v>133</v>
      </c>
      <c r="B27" s="17" t="s">
        <v>123</v>
      </c>
      <c r="C27" s="19">
        <v>49</v>
      </c>
      <c r="D27" s="17" t="s">
        <v>59</v>
      </c>
      <c r="E27" s="17" t="s">
        <v>124</v>
      </c>
      <c r="F27" s="18">
        <v>45514</v>
      </c>
      <c r="G27" s="20">
        <v>4904</v>
      </c>
      <c r="H27" s="17" t="s">
        <v>67</v>
      </c>
      <c r="I27">
        <v>3.1</v>
      </c>
    </row>
    <row r="28" spans="1:9" x14ac:dyDescent="0.25">
      <c r="A28" s="19">
        <v>376</v>
      </c>
      <c r="B28" s="17" t="s">
        <v>127</v>
      </c>
      <c r="C28" s="19">
        <v>22</v>
      </c>
      <c r="D28" s="17" t="s">
        <v>39</v>
      </c>
      <c r="E28" s="17" t="s">
        <v>106</v>
      </c>
      <c r="F28" s="18">
        <v>45790</v>
      </c>
      <c r="G28" s="20">
        <v>13077</v>
      </c>
      <c r="H28" s="17" t="s">
        <v>67</v>
      </c>
      <c r="I28">
        <v>4.0999999999999996</v>
      </c>
    </row>
    <row r="29" spans="1:9" x14ac:dyDescent="0.25">
      <c r="A29" s="19">
        <v>260</v>
      </c>
      <c r="B29" s="17" t="s">
        <v>130</v>
      </c>
      <c r="C29" s="19">
        <v>53</v>
      </c>
      <c r="D29" s="17" t="s">
        <v>39</v>
      </c>
      <c r="E29" s="17" t="s">
        <v>81</v>
      </c>
      <c r="F29" s="18">
        <v>45114</v>
      </c>
      <c r="G29" s="20">
        <v>12494</v>
      </c>
      <c r="H29" s="17" t="s">
        <v>112</v>
      </c>
      <c r="I29">
        <v>3</v>
      </c>
    </row>
    <row r="30" spans="1:9" x14ac:dyDescent="0.25">
      <c r="A30" s="19">
        <v>269</v>
      </c>
      <c r="B30" s="17" t="s">
        <v>133</v>
      </c>
      <c r="C30" s="19">
        <v>35</v>
      </c>
      <c r="D30" s="17" t="s">
        <v>59</v>
      </c>
      <c r="E30" s="17" t="s">
        <v>34</v>
      </c>
      <c r="F30" s="18">
        <v>44956</v>
      </c>
      <c r="G30" s="20">
        <v>13113</v>
      </c>
      <c r="H30" s="17" t="s">
        <v>46</v>
      </c>
      <c r="I30">
        <v>2.1</v>
      </c>
    </row>
    <row r="31" spans="1:9" x14ac:dyDescent="0.25">
      <c r="A31" s="19">
        <v>279</v>
      </c>
      <c r="B31" s="17" t="s">
        <v>43</v>
      </c>
      <c r="C31" s="19">
        <v>31</v>
      </c>
      <c r="D31" s="17" t="s">
        <v>59</v>
      </c>
      <c r="E31" s="17" t="s">
        <v>351</v>
      </c>
      <c r="F31" s="18">
        <v>45291</v>
      </c>
      <c r="G31" s="20">
        <v>13723</v>
      </c>
      <c r="H31" s="17" t="s">
        <v>112</v>
      </c>
      <c r="I31">
        <v>4.8</v>
      </c>
    </row>
    <row r="32" spans="1:9" x14ac:dyDescent="0.25">
      <c r="A32" s="19">
        <v>497</v>
      </c>
      <c r="B32" s="17" t="s">
        <v>139</v>
      </c>
      <c r="C32" s="19">
        <v>49</v>
      </c>
      <c r="D32" s="17" t="s">
        <v>39</v>
      </c>
      <c r="E32" s="17" t="s">
        <v>34</v>
      </c>
      <c r="F32" s="18">
        <v>45137</v>
      </c>
      <c r="G32" s="20">
        <v>15443</v>
      </c>
      <c r="H32" s="17" t="s">
        <v>75</v>
      </c>
      <c r="I32">
        <v>1.4</v>
      </c>
    </row>
    <row r="33" spans="1:9" x14ac:dyDescent="0.25">
      <c r="A33" s="19">
        <v>302</v>
      </c>
      <c r="B33" s="17" t="s">
        <v>143</v>
      </c>
      <c r="C33" s="19">
        <v>22</v>
      </c>
      <c r="D33" s="17" t="s">
        <v>59</v>
      </c>
      <c r="E33" s="17" t="s">
        <v>34</v>
      </c>
      <c r="F33" s="18">
        <v>45652</v>
      </c>
      <c r="G33" s="20">
        <v>16609</v>
      </c>
      <c r="H33" s="17" t="s">
        <v>67</v>
      </c>
      <c r="I33">
        <v>4.5</v>
      </c>
    </row>
    <row r="34" spans="1:9" x14ac:dyDescent="0.25">
      <c r="A34" s="19">
        <v>147</v>
      </c>
      <c r="B34" s="17" t="s">
        <v>147</v>
      </c>
      <c r="C34" s="19">
        <v>41</v>
      </c>
      <c r="D34" s="17" t="s">
        <v>59</v>
      </c>
      <c r="E34" s="17" t="s">
        <v>124</v>
      </c>
      <c r="F34" s="18">
        <v>45573</v>
      </c>
      <c r="G34" s="20">
        <v>13872</v>
      </c>
      <c r="H34" s="17" t="s">
        <v>46</v>
      </c>
      <c r="I34">
        <v>4.5999999999999996</v>
      </c>
    </row>
    <row r="35" spans="1:9" x14ac:dyDescent="0.25">
      <c r="A35" s="19">
        <v>26</v>
      </c>
      <c r="B35" s="17" t="s">
        <v>150</v>
      </c>
      <c r="C35" s="19">
        <v>42</v>
      </c>
      <c r="D35" s="17" t="s">
        <v>39</v>
      </c>
      <c r="E35" s="17" t="s">
        <v>40</v>
      </c>
      <c r="F35" s="18">
        <v>45493</v>
      </c>
      <c r="G35" s="20">
        <v>8435</v>
      </c>
      <c r="H35" s="17" t="s">
        <v>67</v>
      </c>
      <c r="I35">
        <v>2.4</v>
      </c>
    </row>
    <row r="36" spans="1:9" x14ac:dyDescent="0.25">
      <c r="A36" s="19">
        <v>485</v>
      </c>
      <c r="B36" s="17" t="s">
        <v>153</v>
      </c>
      <c r="C36" s="19">
        <v>42</v>
      </c>
      <c r="D36" s="17" t="s">
        <v>39</v>
      </c>
      <c r="E36" s="17" t="s">
        <v>34</v>
      </c>
      <c r="F36" s="18">
        <v>45495</v>
      </c>
      <c r="G36" s="20">
        <v>16829</v>
      </c>
      <c r="H36" s="17" t="s">
        <v>219</v>
      </c>
      <c r="I36">
        <v>3.1</v>
      </c>
    </row>
    <row r="37" spans="1:9" x14ac:dyDescent="0.25">
      <c r="A37" s="19">
        <v>314</v>
      </c>
      <c r="B37" s="17" t="s">
        <v>157</v>
      </c>
      <c r="C37" s="19">
        <v>41</v>
      </c>
      <c r="D37" s="17" t="s">
        <v>39</v>
      </c>
      <c r="E37" s="17" t="s">
        <v>124</v>
      </c>
      <c r="F37" s="18">
        <v>45410</v>
      </c>
      <c r="G37" s="20">
        <v>14469</v>
      </c>
      <c r="H37" s="17" t="s">
        <v>46</v>
      </c>
      <c r="I37">
        <v>3.4</v>
      </c>
    </row>
    <row r="38" spans="1:9" x14ac:dyDescent="0.25">
      <c r="A38" s="19">
        <v>247</v>
      </c>
      <c r="B38" s="17" t="s">
        <v>160</v>
      </c>
      <c r="C38" s="19">
        <v>49</v>
      </c>
      <c r="D38" s="17" t="s">
        <v>39</v>
      </c>
      <c r="E38" s="17" t="s">
        <v>351</v>
      </c>
      <c r="F38" s="18">
        <v>44911</v>
      </c>
      <c r="G38" s="20">
        <v>13816</v>
      </c>
      <c r="H38" s="17" t="s">
        <v>46</v>
      </c>
      <c r="I38">
        <v>1.1000000000000001</v>
      </c>
    </row>
    <row r="39" spans="1:9" x14ac:dyDescent="0.25">
      <c r="A39" s="19">
        <v>347</v>
      </c>
      <c r="B39" s="17" t="s">
        <v>163</v>
      </c>
      <c r="C39" s="19">
        <v>52</v>
      </c>
      <c r="D39" s="17" t="s">
        <v>39</v>
      </c>
      <c r="E39" s="17" t="s">
        <v>40</v>
      </c>
      <c r="F39" s="18">
        <v>44903</v>
      </c>
      <c r="G39" s="20">
        <v>14143</v>
      </c>
      <c r="H39" s="17" t="s">
        <v>26</v>
      </c>
      <c r="I39">
        <v>3.6</v>
      </c>
    </row>
    <row r="40" spans="1:9" x14ac:dyDescent="0.25">
      <c r="A40" s="19">
        <v>223</v>
      </c>
      <c r="B40" s="17" t="s">
        <v>166</v>
      </c>
      <c r="C40" s="19">
        <v>24</v>
      </c>
      <c r="D40" s="17" t="s">
        <v>39</v>
      </c>
      <c r="E40" s="17" t="s">
        <v>40</v>
      </c>
      <c r="F40" s="18">
        <v>45496</v>
      </c>
      <c r="G40" s="20">
        <v>3918</v>
      </c>
      <c r="H40" s="17" t="s">
        <v>75</v>
      </c>
      <c r="I40">
        <v>4.9000000000000004</v>
      </c>
    </row>
    <row r="41" spans="1:9" x14ac:dyDescent="0.25">
      <c r="A41" s="19">
        <v>419</v>
      </c>
      <c r="B41" s="17" t="s">
        <v>170</v>
      </c>
      <c r="C41" s="19">
        <v>22</v>
      </c>
      <c r="D41" s="17" t="s">
        <v>59</v>
      </c>
      <c r="E41" s="17" t="s">
        <v>124</v>
      </c>
      <c r="F41" s="18">
        <v>45621</v>
      </c>
      <c r="G41" s="20">
        <v>18620</v>
      </c>
      <c r="H41" s="17" t="s">
        <v>67</v>
      </c>
      <c r="I41">
        <v>2.1</v>
      </c>
    </row>
    <row r="42" spans="1:9" x14ac:dyDescent="0.25">
      <c r="A42" s="19">
        <v>52</v>
      </c>
      <c r="B42" s="17" t="s">
        <v>173</v>
      </c>
      <c r="C42" s="19">
        <v>53</v>
      </c>
      <c r="D42" s="17" t="s">
        <v>59</v>
      </c>
      <c r="E42" s="17" t="s">
        <v>124</v>
      </c>
      <c r="F42" s="18">
        <v>45362</v>
      </c>
      <c r="G42" s="20">
        <v>19165</v>
      </c>
      <c r="H42" s="17" t="s">
        <v>46</v>
      </c>
      <c r="I42">
        <v>1.8</v>
      </c>
    </row>
    <row r="43" spans="1:9" x14ac:dyDescent="0.25">
      <c r="A43" s="19">
        <v>259</v>
      </c>
      <c r="B43" s="17" t="s">
        <v>176</v>
      </c>
      <c r="C43" s="19">
        <v>25</v>
      </c>
      <c r="D43" s="17" t="s">
        <v>39</v>
      </c>
      <c r="E43" s="17" t="s">
        <v>106</v>
      </c>
      <c r="F43" s="18">
        <v>45567</v>
      </c>
      <c r="G43" s="20">
        <v>10578</v>
      </c>
      <c r="H43" s="17" t="s">
        <v>67</v>
      </c>
      <c r="I43">
        <v>3.5</v>
      </c>
    </row>
    <row r="44" spans="1:9" x14ac:dyDescent="0.25">
      <c r="A44" s="19">
        <v>428</v>
      </c>
      <c r="B44" s="17" t="s">
        <v>179</v>
      </c>
      <c r="C44" s="19">
        <v>53</v>
      </c>
      <c r="D44" s="17" t="s">
        <v>39</v>
      </c>
      <c r="E44" s="17" t="s">
        <v>40</v>
      </c>
      <c r="F44" s="18">
        <v>45450</v>
      </c>
      <c r="G44" s="20">
        <v>18674</v>
      </c>
      <c r="H44" s="17" t="s">
        <v>46</v>
      </c>
      <c r="I44">
        <v>4.9000000000000004</v>
      </c>
    </row>
    <row r="45" spans="1:9" x14ac:dyDescent="0.25">
      <c r="A45" s="19">
        <v>41</v>
      </c>
      <c r="B45" s="17" t="s">
        <v>182</v>
      </c>
      <c r="C45" s="19">
        <v>31</v>
      </c>
      <c r="D45" s="17" t="s">
        <v>39</v>
      </c>
      <c r="E45" s="17" t="s">
        <v>124</v>
      </c>
      <c r="F45" s="18">
        <v>45509</v>
      </c>
      <c r="G45" s="20">
        <v>6831</v>
      </c>
      <c r="H45" s="17" t="s">
        <v>112</v>
      </c>
      <c r="I45">
        <v>3.7</v>
      </c>
    </row>
    <row r="46" spans="1:9" x14ac:dyDescent="0.25">
      <c r="A46" s="19">
        <v>90</v>
      </c>
      <c r="B46" s="17" t="s">
        <v>185</v>
      </c>
      <c r="C46" s="19">
        <v>34</v>
      </c>
      <c r="D46" s="17" t="s">
        <v>39</v>
      </c>
      <c r="E46" s="17" t="s">
        <v>124</v>
      </c>
      <c r="F46" s="18">
        <v>44712</v>
      </c>
      <c r="G46" s="20">
        <v>1952</v>
      </c>
      <c r="H46" s="17" t="s">
        <v>67</v>
      </c>
      <c r="I46">
        <v>3.9</v>
      </c>
    </row>
    <row r="47" spans="1:9" x14ac:dyDescent="0.25">
      <c r="A47" s="19">
        <v>207</v>
      </c>
      <c r="B47" s="17" t="s">
        <v>102</v>
      </c>
      <c r="C47" s="19">
        <v>28</v>
      </c>
      <c r="D47" s="17" t="s">
        <v>39</v>
      </c>
      <c r="E47" s="17" t="s">
        <v>81</v>
      </c>
      <c r="F47" s="18">
        <v>45729</v>
      </c>
      <c r="G47" s="20">
        <v>4737</v>
      </c>
      <c r="H47" s="17" t="s">
        <v>67</v>
      </c>
      <c r="I47">
        <v>4.4000000000000004</v>
      </c>
    </row>
    <row r="48" spans="1:9" x14ac:dyDescent="0.25">
      <c r="A48" s="19">
        <v>240</v>
      </c>
      <c r="B48" s="17" t="s">
        <v>133</v>
      </c>
      <c r="C48" s="19">
        <v>33</v>
      </c>
      <c r="D48" s="17" t="s">
        <v>59</v>
      </c>
      <c r="E48" s="17" t="s">
        <v>81</v>
      </c>
      <c r="F48" s="18">
        <v>44755</v>
      </c>
      <c r="G48" s="20">
        <v>4288</v>
      </c>
      <c r="H48" s="17" t="s">
        <v>112</v>
      </c>
      <c r="I48">
        <v>3.2</v>
      </c>
    </row>
    <row r="49" spans="1:9" x14ac:dyDescent="0.25">
      <c r="A49" s="19">
        <v>483</v>
      </c>
      <c r="B49" s="17" t="s">
        <v>192</v>
      </c>
      <c r="C49" s="19">
        <v>46</v>
      </c>
      <c r="D49" s="17" t="s">
        <v>59</v>
      </c>
      <c r="E49" s="17" t="s">
        <v>106</v>
      </c>
      <c r="F49" s="18">
        <v>45252</v>
      </c>
      <c r="G49" s="20">
        <v>13099</v>
      </c>
      <c r="H49" s="17" t="s">
        <v>46</v>
      </c>
      <c r="I49">
        <v>1</v>
      </c>
    </row>
    <row r="50" spans="1:9" x14ac:dyDescent="0.25">
      <c r="A50" s="19">
        <v>239</v>
      </c>
      <c r="B50" s="17" t="s">
        <v>196</v>
      </c>
      <c r="C50" s="19">
        <v>24</v>
      </c>
      <c r="D50" s="17" t="s">
        <v>39</v>
      </c>
      <c r="E50" s="17" t="s">
        <v>34</v>
      </c>
      <c r="F50" s="18">
        <v>45430</v>
      </c>
      <c r="G50" s="20">
        <v>766</v>
      </c>
      <c r="H50" s="17" t="s">
        <v>67</v>
      </c>
      <c r="I50">
        <v>2.2999999999999998</v>
      </c>
    </row>
    <row r="51" spans="1:9" x14ac:dyDescent="0.25">
      <c r="A51" s="19">
        <v>480</v>
      </c>
      <c r="B51" s="17" t="s">
        <v>199</v>
      </c>
      <c r="C51" s="19">
        <v>24</v>
      </c>
      <c r="D51" s="17" t="s">
        <v>39</v>
      </c>
      <c r="E51" s="17" t="s">
        <v>81</v>
      </c>
      <c r="F51" s="18">
        <v>45784</v>
      </c>
      <c r="G51" s="20">
        <v>11211</v>
      </c>
      <c r="H51" s="17" t="s">
        <v>112</v>
      </c>
      <c r="I51">
        <v>3.5</v>
      </c>
    </row>
    <row r="52" spans="1:9" x14ac:dyDescent="0.25">
      <c r="A52" s="19">
        <v>311</v>
      </c>
      <c r="B52" s="17" t="s">
        <v>203</v>
      </c>
      <c r="C52" s="19">
        <v>52</v>
      </c>
      <c r="D52" s="17" t="s">
        <v>39</v>
      </c>
      <c r="E52" s="17" t="s">
        <v>124</v>
      </c>
      <c r="F52" s="18">
        <v>44963</v>
      </c>
      <c r="G52" s="20">
        <v>8358</v>
      </c>
      <c r="H52" s="17" t="s">
        <v>46</v>
      </c>
      <c r="I52">
        <v>1.9</v>
      </c>
    </row>
    <row r="53" spans="1:9" x14ac:dyDescent="0.25">
      <c r="A53" s="19">
        <v>4</v>
      </c>
      <c r="B53" s="17" t="s">
        <v>166</v>
      </c>
      <c r="C53" s="19">
        <v>25</v>
      </c>
      <c r="D53" s="17" t="s">
        <v>59</v>
      </c>
      <c r="E53" s="17" t="s">
        <v>106</v>
      </c>
      <c r="F53" s="18">
        <v>45349</v>
      </c>
      <c r="G53" s="20">
        <v>10618</v>
      </c>
      <c r="H53" s="17" t="s">
        <v>26</v>
      </c>
      <c r="I53">
        <v>2.7</v>
      </c>
    </row>
    <row r="54" spans="1:9" x14ac:dyDescent="0.25">
      <c r="A54" s="19">
        <v>180</v>
      </c>
      <c r="B54" s="17" t="s">
        <v>196</v>
      </c>
      <c r="C54" s="19">
        <v>19</v>
      </c>
      <c r="D54" s="17" t="s">
        <v>59</v>
      </c>
      <c r="E54" s="17" t="s">
        <v>106</v>
      </c>
      <c r="F54" s="18">
        <v>44891</v>
      </c>
      <c r="G54" s="20">
        <v>10457</v>
      </c>
      <c r="H54" s="17" t="s">
        <v>75</v>
      </c>
      <c r="I54">
        <v>3</v>
      </c>
    </row>
    <row r="55" spans="1:9" x14ac:dyDescent="0.25">
      <c r="A55" s="19">
        <v>249</v>
      </c>
      <c r="B55" s="17" t="s">
        <v>211</v>
      </c>
      <c r="C55" s="19">
        <v>58</v>
      </c>
      <c r="D55" s="17" t="s">
        <v>59</v>
      </c>
      <c r="E55" s="17" t="s">
        <v>351</v>
      </c>
      <c r="F55" s="18">
        <v>44835</v>
      </c>
      <c r="G55" s="20">
        <v>6476</v>
      </c>
      <c r="H55" s="17" t="s">
        <v>67</v>
      </c>
      <c r="I55">
        <v>1.1000000000000001</v>
      </c>
    </row>
    <row r="56" spans="1:9" x14ac:dyDescent="0.25">
      <c r="A56" s="19">
        <v>66</v>
      </c>
      <c r="B56" s="17" t="s">
        <v>216</v>
      </c>
      <c r="C56" s="19">
        <v>48</v>
      </c>
      <c r="D56" s="17" t="s">
        <v>59</v>
      </c>
      <c r="E56" s="17" t="s">
        <v>34</v>
      </c>
      <c r="F56" s="18">
        <v>45556</v>
      </c>
      <c r="G56" s="20">
        <v>5401</v>
      </c>
      <c r="H56" s="17" t="s">
        <v>219</v>
      </c>
      <c r="I56">
        <v>1.6</v>
      </c>
    </row>
    <row r="57" spans="1:9" x14ac:dyDescent="0.25">
      <c r="A57" s="19">
        <v>139</v>
      </c>
      <c r="B57" s="17" t="s">
        <v>220</v>
      </c>
      <c r="C57" s="19">
        <v>32</v>
      </c>
      <c r="D57" s="17" t="s">
        <v>59</v>
      </c>
      <c r="E57" s="17" t="s">
        <v>351</v>
      </c>
      <c r="F57" s="18">
        <v>44950</v>
      </c>
      <c r="G57" s="20">
        <v>1115</v>
      </c>
      <c r="H57" s="17" t="s">
        <v>67</v>
      </c>
      <c r="I57">
        <v>3.3</v>
      </c>
    </row>
    <row r="58" spans="1:9" x14ac:dyDescent="0.25">
      <c r="A58" s="19">
        <v>437</v>
      </c>
      <c r="B58" s="17" t="s">
        <v>223</v>
      </c>
      <c r="C58" s="19">
        <v>48</v>
      </c>
      <c r="D58" s="17" t="s">
        <v>39</v>
      </c>
      <c r="E58" s="17" t="s">
        <v>40</v>
      </c>
      <c r="F58" s="18">
        <v>45660</v>
      </c>
      <c r="G58" s="20">
        <v>4118</v>
      </c>
      <c r="H58" s="17" t="s">
        <v>26</v>
      </c>
      <c r="I58">
        <v>2.9</v>
      </c>
    </row>
    <row r="59" spans="1:9" x14ac:dyDescent="0.25">
      <c r="A59" s="19">
        <v>114</v>
      </c>
      <c r="B59" s="17" t="s">
        <v>229</v>
      </c>
      <c r="C59" s="19">
        <v>18</v>
      </c>
      <c r="D59" s="17" t="s">
        <v>59</v>
      </c>
      <c r="E59" s="17" t="s">
        <v>106</v>
      </c>
      <c r="F59" s="18">
        <v>45582</v>
      </c>
      <c r="G59" s="20">
        <v>13759</v>
      </c>
      <c r="H59" s="17" t="s">
        <v>219</v>
      </c>
      <c r="I59">
        <v>3.2</v>
      </c>
    </row>
    <row r="60" spans="1:9" x14ac:dyDescent="0.25">
      <c r="A60" s="19">
        <v>469</v>
      </c>
      <c r="B60" s="17" t="s">
        <v>233</v>
      </c>
      <c r="C60" s="19">
        <v>52</v>
      </c>
      <c r="D60" s="17" t="s">
        <v>59</v>
      </c>
      <c r="E60" s="17" t="s">
        <v>81</v>
      </c>
      <c r="F60" s="18">
        <v>45074</v>
      </c>
      <c r="G60" s="20">
        <v>3856</v>
      </c>
      <c r="H60" s="17" t="s">
        <v>46</v>
      </c>
      <c r="I60">
        <v>2.2000000000000002</v>
      </c>
    </row>
    <row r="61" spans="1:9" x14ac:dyDescent="0.25">
      <c r="A61" s="19">
        <v>169</v>
      </c>
      <c r="B61" s="17" t="s">
        <v>236</v>
      </c>
      <c r="C61" s="19">
        <v>54</v>
      </c>
      <c r="D61" s="17" t="s">
        <v>39</v>
      </c>
      <c r="E61" s="17" t="s">
        <v>81</v>
      </c>
      <c r="F61" s="18">
        <v>45524</v>
      </c>
      <c r="G61" s="20">
        <v>12438</v>
      </c>
      <c r="H61" s="17" t="s">
        <v>219</v>
      </c>
      <c r="I61">
        <v>2.9</v>
      </c>
    </row>
    <row r="62" spans="1:9" x14ac:dyDescent="0.25">
      <c r="A62" s="19">
        <v>102</v>
      </c>
      <c r="B62" s="17" t="s">
        <v>226</v>
      </c>
      <c r="C62" s="19">
        <v>25</v>
      </c>
      <c r="D62" s="17" t="s">
        <v>59</v>
      </c>
      <c r="E62" s="17" t="s">
        <v>40</v>
      </c>
      <c r="F62" s="18">
        <v>45706</v>
      </c>
      <c r="G62" s="20">
        <v>11929</v>
      </c>
      <c r="H62" s="17" t="s">
        <v>46</v>
      </c>
      <c r="I62">
        <v>1.7</v>
      </c>
    </row>
    <row r="63" spans="1:9" x14ac:dyDescent="0.25">
      <c r="A63" s="19">
        <v>373</v>
      </c>
      <c r="B63" s="17" t="s">
        <v>43</v>
      </c>
      <c r="C63" s="19">
        <v>41</v>
      </c>
      <c r="D63" s="17" t="s">
        <v>39</v>
      </c>
      <c r="E63" s="17" t="s">
        <v>351</v>
      </c>
      <c r="F63" s="18">
        <v>45498</v>
      </c>
      <c r="G63" s="20">
        <v>7088</v>
      </c>
      <c r="H63" s="17" t="s">
        <v>112</v>
      </c>
      <c r="I63">
        <v>3</v>
      </c>
    </row>
    <row r="64" spans="1:9" x14ac:dyDescent="0.25">
      <c r="A64" s="19">
        <v>214</v>
      </c>
      <c r="B64" s="17" t="s">
        <v>245</v>
      </c>
      <c r="C64" s="19">
        <v>20</v>
      </c>
      <c r="D64" s="17" t="s">
        <v>59</v>
      </c>
      <c r="E64" s="17" t="s">
        <v>106</v>
      </c>
      <c r="F64" s="18">
        <v>45215</v>
      </c>
      <c r="G64" s="20">
        <v>16621</v>
      </c>
      <c r="H64" s="17" t="s">
        <v>75</v>
      </c>
      <c r="I64">
        <v>3.8</v>
      </c>
    </row>
    <row r="65" spans="1:9" x14ac:dyDescent="0.25">
      <c r="A65" s="19">
        <v>406</v>
      </c>
      <c r="B65" s="17" t="s">
        <v>248</v>
      </c>
      <c r="C65" s="19">
        <v>56</v>
      </c>
      <c r="D65" s="17" t="s">
        <v>59</v>
      </c>
      <c r="E65" s="17" t="s">
        <v>124</v>
      </c>
      <c r="F65" s="18">
        <v>45617</v>
      </c>
      <c r="G65" s="20">
        <v>5515</v>
      </c>
      <c r="H65" s="17" t="s">
        <v>219</v>
      </c>
      <c r="I65">
        <v>3.7</v>
      </c>
    </row>
    <row r="66" spans="1:9" x14ac:dyDescent="0.25">
      <c r="A66" s="19">
        <v>341</v>
      </c>
      <c r="B66" s="17" t="s">
        <v>251</v>
      </c>
      <c r="C66" s="19">
        <v>50</v>
      </c>
      <c r="D66" s="17" t="s">
        <v>59</v>
      </c>
      <c r="E66" s="17" t="s">
        <v>124</v>
      </c>
      <c r="F66" s="18">
        <v>45698</v>
      </c>
      <c r="G66" s="20">
        <v>4424</v>
      </c>
      <c r="H66" s="17" t="s">
        <v>75</v>
      </c>
      <c r="I66">
        <v>2.4</v>
      </c>
    </row>
    <row r="67" spans="1:9" x14ac:dyDescent="0.25">
      <c r="A67" s="19">
        <v>461</v>
      </c>
      <c r="B67" s="17" t="s">
        <v>254</v>
      </c>
      <c r="C67" s="19">
        <v>50</v>
      </c>
      <c r="D67" s="17" t="s">
        <v>39</v>
      </c>
      <c r="E67" s="17" t="s">
        <v>34</v>
      </c>
      <c r="F67" s="18">
        <v>45355</v>
      </c>
      <c r="G67" s="20">
        <v>13529</v>
      </c>
      <c r="H67" s="17" t="s">
        <v>75</v>
      </c>
      <c r="I67">
        <v>4.2</v>
      </c>
    </row>
    <row r="68" spans="1:9" x14ac:dyDescent="0.25">
      <c r="A68" s="19">
        <v>338</v>
      </c>
      <c r="B68" s="17" t="s">
        <v>160</v>
      </c>
      <c r="C68" s="19">
        <v>43</v>
      </c>
      <c r="D68" s="17" t="s">
        <v>59</v>
      </c>
      <c r="E68" s="17" t="s">
        <v>40</v>
      </c>
      <c r="F68" s="18">
        <v>45130</v>
      </c>
      <c r="G68" s="20">
        <v>13146</v>
      </c>
      <c r="H68" s="17" t="s">
        <v>112</v>
      </c>
      <c r="I68">
        <v>2.9</v>
      </c>
    </row>
    <row r="69" spans="1:9" x14ac:dyDescent="0.25">
      <c r="A69" s="19">
        <v>452</v>
      </c>
      <c r="B69" s="17" t="s">
        <v>260</v>
      </c>
      <c r="C69" s="19">
        <v>41</v>
      </c>
      <c r="D69" s="17" t="s">
        <v>59</v>
      </c>
      <c r="E69" s="17" t="s">
        <v>106</v>
      </c>
      <c r="F69" s="18">
        <v>44759</v>
      </c>
      <c r="G69" s="20">
        <v>17434</v>
      </c>
      <c r="H69" s="17" t="s">
        <v>75</v>
      </c>
      <c r="I69">
        <v>1.5</v>
      </c>
    </row>
    <row r="70" spans="1:9" x14ac:dyDescent="0.25">
      <c r="A70" s="19">
        <v>194</v>
      </c>
      <c r="B70" s="17" t="s">
        <v>263</v>
      </c>
      <c r="C70" s="19">
        <v>43</v>
      </c>
      <c r="D70" s="17" t="s">
        <v>39</v>
      </c>
      <c r="E70" s="17" t="s">
        <v>124</v>
      </c>
      <c r="F70" s="18">
        <v>44894</v>
      </c>
      <c r="G70" s="20">
        <v>7096</v>
      </c>
      <c r="H70" s="17" t="s">
        <v>75</v>
      </c>
      <c r="I70">
        <v>2.4</v>
      </c>
    </row>
    <row r="71" spans="1:9" x14ac:dyDescent="0.25">
      <c r="A71" s="19">
        <v>61</v>
      </c>
      <c r="B71" s="17" t="s">
        <v>127</v>
      </c>
      <c r="C71" s="19">
        <v>43</v>
      </c>
      <c r="D71" s="17" t="s">
        <v>59</v>
      </c>
      <c r="E71" s="17" t="s">
        <v>40</v>
      </c>
      <c r="F71" s="18">
        <v>45008</v>
      </c>
      <c r="G71" s="20">
        <v>3241</v>
      </c>
      <c r="H71" s="17" t="s">
        <v>219</v>
      </c>
      <c r="I71">
        <v>2.8</v>
      </c>
    </row>
    <row r="72" spans="1:9" x14ac:dyDescent="0.25">
      <c r="A72" s="19">
        <v>417</v>
      </c>
      <c r="B72" s="17" t="s">
        <v>269</v>
      </c>
      <c r="C72" s="19">
        <v>31</v>
      </c>
      <c r="D72" s="17" t="s">
        <v>59</v>
      </c>
      <c r="E72" s="17" t="s">
        <v>106</v>
      </c>
      <c r="F72" s="18">
        <v>45463</v>
      </c>
      <c r="G72" s="20">
        <v>14160</v>
      </c>
      <c r="H72" s="17" t="s">
        <v>46</v>
      </c>
      <c r="I72">
        <v>3.7</v>
      </c>
    </row>
    <row r="73" spans="1:9" x14ac:dyDescent="0.25">
      <c r="A73" s="19">
        <v>315</v>
      </c>
      <c r="B73" s="17" t="s">
        <v>272</v>
      </c>
      <c r="C73" s="19">
        <v>46</v>
      </c>
      <c r="D73" s="17" t="s">
        <v>39</v>
      </c>
      <c r="E73" s="17" t="s">
        <v>124</v>
      </c>
      <c r="F73" s="18">
        <v>45686</v>
      </c>
      <c r="G73" s="20">
        <v>13010</v>
      </c>
      <c r="H73" s="17" t="s">
        <v>46</v>
      </c>
      <c r="I73">
        <v>3.3</v>
      </c>
    </row>
    <row r="74" spans="1:9" x14ac:dyDescent="0.25">
      <c r="A74" s="19">
        <v>119</v>
      </c>
      <c r="B74" s="17" t="s">
        <v>91</v>
      </c>
      <c r="C74" s="19">
        <v>18</v>
      </c>
      <c r="D74" s="17" t="s">
        <v>39</v>
      </c>
      <c r="E74" s="17" t="s">
        <v>81</v>
      </c>
      <c r="F74" s="18">
        <v>45751</v>
      </c>
      <c r="G74" s="20">
        <v>5064</v>
      </c>
      <c r="H74" s="17" t="s">
        <v>219</v>
      </c>
      <c r="I74">
        <v>1.6</v>
      </c>
    </row>
    <row r="75" spans="1:9" x14ac:dyDescent="0.25">
      <c r="A75" s="19">
        <v>370</v>
      </c>
      <c r="B75" s="17" t="s">
        <v>277</v>
      </c>
      <c r="C75" s="19">
        <v>59</v>
      </c>
      <c r="D75" s="17" t="s">
        <v>39</v>
      </c>
      <c r="E75" s="17" t="s">
        <v>34</v>
      </c>
      <c r="F75" s="18">
        <v>45471</v>
      </c>
      <c r="G75" s="20">
        <v>9865</v>
      </c>
      <c r="H75" s="17" t="s">
        <v>46</v>
      </c>
      <c r="I75">
        <v>3.5</v>
      </c>
    </row>
    <row r="76" spans="1:9" x14ac:dyDescent="0.25">
      <c r="A76" s="19">
        <v>426</v>
      </c>
      <c r="B76" s="17" t="s">
        <v>173</v>
      </c>
      <c r="C76" s="19">
        <v>38</v>
      </c>
      <c r="D76" s="17" t="s">
        <v>59</v>
      </c>
      <c r="E76" s="17" t="s">
        <v>124</v>
      </c>
      <c r="F76" s="18">
        <v>44727</v>
      </c>
      <c r="G76" s="20">
        <v>6084</v>
      </c>
      <c r="H76" s="17" t="s">
        <v>112</v>
      </c>
      <c r="I76">
        <v>2.6</v>
      </c>
    </row>
    <row r="77" spans="1:9" x14ac:dyDescent="0.25">
      <c r="A77" s="19">
        <v>110</v>
      </c>
      <c r="B77" s="17" t="s">
        <v>116</v>
      </c>
      <c r="C77" s="19">
        <v>57</v>
      </c>
      <c r="D77" s="17" t="s">
        <v>39</v>
      </c>
      <c r="E77" s="17" t="s">
        <v>81</v>
      </c>
      <c r="F77" s="18">
        <v>45768</v>
      </c>
      <c r="G77" s="20">
        <v>11075</v>
      </c>
      <c r="H77" s="17" t="s">
        <v>112</v>
      </c>
      <c r="I77">
        <v>3.4</v>
      </c>
    </row>
    <row r="78" spans="1:9" x14ac:dyDescent="0.25">
      <c r="A78" s="19">
        <v>348</v>
      </c>
      <c r="B78" s="17" t="s">
        <v>98</v>
      </c>
      <c r="C78" s="19">
        <v>42</v>
      </c>
      <c r="D78" s="17" t="s">
        <v>39</v>
      </c>
      <c r="E78" s="17" t="s">
        <v>34</v>
      </c>
      <c r="F78" s="18">
        <v>45527</v>
      </c>
      <c r="G78" s="20">
        <v>8937</v>
      </c>
      <c r="H78" s="17" t="s">
        <v>112</v>
      </c>
      <c r="I78">
        <v>4.4000000000000004</v>
      </c>
    </row>
    <row r="79" spans="1:9" x14ac:dyDescent="0.25">
      <c r="A79" s="19">
        <v>450</v>
      </c>
      <c r="B79" s="17" t="s">
        <v>286</v>
      </c>
      <c r="C79" s="19">
        <v>44</v>
      </c>
      <c r="D79" s="17" t="s">
        <v>59</v>
      </c>
      <c r="E79" s="17" t="s">
        <v>81</v>
      </c>
      <c r="F79" s="18">
        <v>44918</v>
      </c>
      <c r="G79" s="20">
        <v>1220</v>
      </c>
      <c r="H79" s="17" t="s">
        <v>46</v>
      </c>
      <c r="I79">
        <v>4.2</v>
      </c>
    </row>
    <row r="80" spans="1:9" x14ac:dyDescent="0.25">
      <c r="A80" s="19">
        <v>362</v>
      </c>
      <c r="B80" s="17" t="s">
        <v>289</v>
      </c>
      <c r="C80" s="19">
        <v>51</v>
      </c>
      <c r="D80" s="17" t="s">
        <v>59</v>
      </c>
      <c r="E80" s="17" t="s">
        <v>40</v>
      </c>
      <c r="F80" s="18">
        <v>45494</v>
      </c>
      <c r="G80" s="20">
        <v>16708</v>
      </c>
      <c r="H80" s="17" t="s">
        <v>112</v>
      </c>
      <c r="I80">
        <v>2.2999999999999998</v>
      </c>
    </row>
    <row r="81" spans="1:9" x14ac:dyDescent="0.25">
      <c r="A81" s="19">
        <v>91</v>
      </c>
      <c r="B81" s="17" t="s">
        <v>292</v>
      </c>
      <c r="C81" s="19">
        <v>25</v>
      </c>
      <c r="D81" s="17" t="s">
        <v>59</v>
      </c>
      <c r="E81" s="17" t="s">
        <v>106</v>
      </c>
      <c r="F81" s="18">
        <v>45035</v>
      </c>
      <c r="G81" s="20">
        <v>5010</v>
      </c>
      <c r="H81" s="17" t="s">
        <v>75</v>
      </c>
      <c r="I81">
        <v>4.4000000000000004</v>
      </c>
    </row>
    <row r="82" spans="1:9" x14ac:dyDescent="0.25">
      <c r="A82" s="19">
        <v>156</v>
      </c>
      <c r="B82" s="17" t="s">
        <v>295</v>
      </c>
      <c r="C82" s="19">
        <v>42</v>
      </c>
      <c r="D82" s="17" t="s">
        <v>59</v>
      </c>
      <c r="E82" s="17" t="s">
        <v>106</v>
      </c>
      <c r="F82" s="18">
        <v>45003</v>
      </c>
      <c r="G82" s="20">
        <v>12863</v>
      </c>
      <c r="H82" s="17" t="s">
        <v>46</v>
      </c>
      <c r="I82">
        <v>3.1</v>
      </c>
    </row>
    <row r="83" spans="1:9" x14ac:dyDescent="0.25">
      <c r="A83" s="19">
        <v>264</v>
      </c>
      <c r="B83" s="17" t="s">
        <v>298</v>
      </c>
      <c r="C83" s="19">
        <v>52</v>
      </c>
      <c r="D83" s="17" t="s">
        <v>59</v>
      </c>
      <c r="E83" s="17" t="s">
        <v>106</v>
      </c>
      <c r="F83" s="18">
        <v>44893</v>
      </c>
      <c r="G83" s="20">
        <v>14278</v>
      </c>
      <c r="H83" s="17" t="s">
        <v>26</v>
      </c>
      <c r="I83">
        <v>2.7</v>
      </c>
    </row>
    <row r="84" spans="1:9" x14ac:dyDescent="0.25">
      <c r="A84" s="19">
        <v>307</v>
      </c>
      <c r="B84" s="17" t="s">
        <v>220</v>
      </c>
      <c r="C84" s="19">
        <v>45</v>
      </c>
      <c r="D84" s="17" t="s">
        <v>39</v>
      </c>
      <c r="E84" s="17" t="s">
        <v>34</v>
      </c>
      <c r="F84" s="18">
        <v>45081</v>
      </c>
      <c r="G84" s="20">
        <v>11575</v>
      </c>
      <c r="H84" s="17" t="s">
        <v>67</v>
      </c>
      <c r="I84">
        <v>4</v>
      </c>
    </row>
    <row r="85" spans="1:9" x14ac:dyDescent="0.25">
      <c r="A85" s="19">
        <v>31</v>
      </c>
      <c r="B85" s="17" t="s">
        <v>303</v>
      </c>
      <c r="C85" s="19">
        <v>32</v>
      </c>
      <c r="D85" s="17" t="s">
        <v>39</v>
      </c>
      <c r="E85" s="17" t="s">
        <v>81</v>
      </c>
      <c r="F85" s="18">
        <v>45031</v>
      </c>
      <c r="G85" s="20">
        <v>1162</v>
      </c>
      <c r="H85" s="17" t="s">
        <v>26</v>
      </c>
      <c r="I85">
        <v>2.8</v>
      </c>
    </row>
    <row r="86" spans="1:9" x14ac:dyDescent="0.25">
      <c r="A86" s="19">
        <v>23</v>
      </c>
      <c r="B86" s="17" t="s">
        <v>87</v>
      </c>
      <c r="C86" s="19">
        <v>50</v>
      </c>
      <c r="D86" s="17" t="s">
        <v>39</v>
      </c>
      <c r="E86" s="17" t="s">
        <v>106</v>
      </c>
      <c r="F86" s="18">
        <v>44764</v>
      </c>
      <c r="G86" s="20">
        <v>17201</v>
      </c>
      <c r="H86" s="17" t="s">
        <v>75</v>
      </c>
      <c r="I86">
        <v>2.6</v>
      </c>
    </row>
    <row r="87" spans="1:9" x14ac:dyDescent="0.25">
      <c r="A87" s="19">
        <v>306</v>
      </c>
      <c r="B87" s="17" t="s">
        <v>58</v>
      </c>
      <c r="C87" s="19">
        <v>34</v>
      </c>
      <c r="D87" s="17" t="s">
        <v>59</v>
      </c>
      <c r="E87" s="17" t="s">
        <v>40</v>
      </c>
      <c r="F87" s="18">
        <v>44762</v>
      </c>
      <c r="G87" s="20">
        <v>3696</v>
      </c>
      <c r="H87" s="17" t="s">
        <v>46</v>
      </c>
      <c r="I87">
        <v>2.6</v>
      </c>
    </row>
    <row r="88" spans="1:9" x14ac:dyDescent="0.25">
      <c r="A88" s="19">
        <v>32</v>
      </c>
      <c r="B88" s="17" t="s">
        <v>310</v>
      </c>
      <c r="C88" s="19">
        <v>20</v>
      </c>
      <c r="D88" s="17" t="s">
        <v>39</v>
      </c>
      <c r="E88" s="17" t="s">
        <v>34</v>
      </c>
      <c r="F88" s="18">
        <v>45602</v>
      </c>
      <c r="G88" s="20">
        <v>18640</v>
      </c>
      <c r="H88" s="17" t="s">
        <v>67</v>
      </c>
      <c r="I88">
        <v>1.6</v>
      </c>
    </row>
    <row r="89" spans="1:9" x14ac:dyDescent="0.25">
      <c r="A89" s="19">
        <v>238</v>
      </c>
      <c r="B89" s="17" t="s">
        <v>313</v>
      </c>
      <c r="C89" s="19">
        <v>52</v>
      </c>
      <c r="D89" s="17" t="s">
        <v>39</v>
      </c>
      <c r="E89" s="17" t="s">
        <v>124</v>
      </c>
      <c r="F89" s="18">
        <v>45451</v>
      </c>
      <c r="G89" s="20">
        <v>3366</v>
      </c>
      <c r="H89" s="17" t="s">
        <v>112</v>
      </c>
      <c r="I89">
        <v>1.3</v>
      </c>
    </row>
    <row r="90" spans="1:9" x14ac:dyDescent="0.25">
      <c r="A90" s="19">
        <v>327</v>
      </c>
      <c r="B90" s="17" t="s">
        <v>316</v>
      </c>
      <c r="C90" s="19">
        <v>48</v>
      </c>
      <c r="D90" s="17" t="s">
        <v>59</v>
      </c>
      <c r="E90" s="17" t="s">
        <v>124</v>
      </c>
      <c r="F90" s="18">
        <v>45393</v>
      </c>
      <c r="G90" s="20">
        <v>17360</v>
      </c>
      <c r="H90" s="17" t="s">
        <v>46</v>
      </c>
      <c r="I90">
        <v>2.6</v>
      </c>
    </row>
    <row r="91" spans="1:9" x14ac:dyDescent="0.25">
      <c r="A91" s="19">
        <v>53</v>
      </c>
      <c r="B91" s="17" t="s">
        <v>319</v>
      </c>
      <c r="C91" s="19">
        <v>57</v>
      </c>
      <c r="D91" s="17" t="s">
        <v>39</v>
      </c>
      <c r="E91" s="17" t="s">
        <v>40</v>
      </c>
      <c r="F91" s="18">
        <v>45315</v>
      </c>
      <c r="G91" s="20">
        <v>18024</v>
      </c>
      <c r="H91" s="17" t="s">
        <v>219</v>
      </c>
      <c r="I91">
        <v>4.5999999999999996</v>
      </c>
    </row>
    <row r="92" spans="1:9" x14ac:dyDescent="0.25">
      <c r="A92" s="19">
        <v>491</v>
      </c>
      <c r="B92" s="17" t="s">
        <v>98</v>
      </c>
      <c r="C92" s="19">
        <v>41</v>
      </c>
      <c r="D92" s="17" t="s">
        <v>39</v>
      </c>
      <c r="E92" s="17" t="s">
        <v>106</v>
      </c>
      <c r="F92" s="18">
        <v>45117</v>
      </c>
      <c r="G92" s="20">
        <v>11573</v>
      </c>
      <c r="H92" s="17" t="s">
        <v>26</v>
      </c>
      <c r="I92">
        <v>1.5</v>
      </c>
    </row>
    <row r="93" spans="1:9" x14ac:dyDescent="0.25">
      <c r="A93" s="19">
        <v>165</v>
      </c>
      <c r="B93" s="17" t="s">
        <v>324</v>
      </c>
      <c r="C93" s="19">
        <v>23</v>
      </c>
      <c r="D93" s="17" t="s">
        <v>39</v>
      </c>
      <c r="E93" s="17" t="s">
        <v>351</v>
      </c>
      <c r="F93" s="18">
        <v>45618</v>
      </c>
      <c r="G93" s="20">
        <v>13556</v>
      </c>
      <c r="H93" s="17" t="s">
        <v>75</v>
      </c>
      <c r="I93">
        <v>2.4</v>
      </c>
    </row>
    <row r="94" spans="1:9" x14ac:dyDescent="0.25">
      <c r="A94" s="19">
        <v>217</v>
      </c>
      <c r="B94" s="17" t="s">
        <v>327</v>
      </c>
      <c r="C94" s="19">
        <v>36</v>
      </c>
      <c r="D94" s="17" t="s">
        <v>39</v>
      </c>
      <c r="E94" s="17" t="s">
        <v>34</v>
      </c>
      <c r="F94" s="18">
        <v>44751</v>
      </c>
      <c r="G94" s="20">
        <v>4264</v>
      </c>
      <c r="H94" s="17" t="s">
        <v>75</v>
      </c>
      <c r="I94">
        <v>3.3</v>
      </c>
    </row>
    <row r="95" spans="1:9" x14ac:dyDescent="0.25">
      <c r="A95" s="19">
        <v>163</v>
      </c>
      <c r="B95" s="17" t="s">
        <v>330</v>
      </c>
      <c r="C95" s="19">
        <v>20</v>
      </c>
      <c r="D95" s="17" t="s">
        <v>39</v>
      </c>
      <c r="E95" s="17" t="s">
        <v>124</v>
      </c>
      <c r="F95" s="18">
        <v>45624</v>
      </c>
      <c r="G95" s="20">
        <v>11016</v>
      </c>
      <c r="H95" s="17" t="s">
        <v>26</v>
      </c>
      <c r="I95">
        <v>2.6</v>
      </c>
    </row>
    <row r="96" spans="1:9" x14ac:dyDescent="0.25">
      <c r="A96" s="19">
        <v>366</v>
      </c>
      <c r="B96" s="17" t="s">
        <v>334</v>
      </c>
      <c r="C96" s="19">
        <v>39</v>
      </c>
      <c r="D96" s="17" t="s">
        <v>59</v>
      </c>
      <c r="E96" s="17" t="s">
        <v>106</v>
      </c>
      <c r="F96" s="18">
        <v>45777</v>
      </c>
      <c r="G96" s="20">
        <v>2148</v>
      </c>
      <c r="H96" s="17" t="s">
        <v>219</v>
      </c>
      <c r="I96">
        <v>4.3</v>
      </c>
    </row>
    <row r="97" spans="1:9" x14ac:dyDescent="0.25">
      <c r="A97" s="19">
        <v>57</v>
      </c>
      <c r="B97" s="17" t="s">
        <v>337</v>
      </c>
      <c r="C97" s="19">
        <v>59</v>
      </c>
      <c r="D97" s="17" t="s">
        <v>39</v>
      </c>
      <c r="E97" s="17" t="s">
        <v>106</v>
      </c>
      <c r="F97" s="18">
        <v>45257</v>
      </c>
      <c r="G97" s="20">
        <v>8791</v>
      </c>
      <c r="H97" s="17" t="s">
        <v>46</v>
      </c>
      <c r="I97">
        <v>2.9</v>
      </c>
    </row>
    <row r="98" spans="1:9" x14ac:dyDescent="0.25">
      <c r="A98" s="19">
        <v>471</v>
      </c>
      <c r="B98" s="17" t="s">
        <v>340</v>
      </c>
      <c r="C98" s="19">
        <v>34</v>
      </c>
      <c r="D98" s="17" t="s">
        <v>59</v>
      </c>
      <c r="E98" s="17" t="s">
        <v>40</v>
      </c>
      <c r="F98" s="18">
        <v>44782</v>
      </c>
      <c r="G98" s="20">
        <v>16578</v>
      </c>
      <c r="H98" s="17" t="s">
        <v>112</v>
      </c>
      <c r="I98">
        <v>4.4000000000000004</v>
      </c>
    </row>
    <row r="99" spans="1:9" x14ac:dyDescent="0.25">
      <c r="A99" s="19">
        <v>3</v>
      </c>
      <c r="B99" s="17" t="s">
        <v>343</v>
      </c>
      <c r="C99" s="19">
        <v>32</v>
      </c>
      <c r="D99" s="17" t="s">
        <v>39</v>
      </c>
      <c r="E99" s="17" t="s">
        <v>40</v>
      </c>
      <c r="F99" s="18">
        <v>45313</v>
      </c>
      <c r="G99" s="20">
        <v>5744</v>
      </c>
      <c r="H99" s="17" t="s">
        <v>219</v>
      </c>
      <c r="I99">
        <v>3.4</v>
      </c>
    </row>
    <row r="100" spans="1:9" x14ac:dyDescent="0.25">
      <c r="A100" s="19">
        <v>59</v>
      </c>
      <c r="B100" s="17" t="s">
        <v>324</v>
      </c>
      <c r="C100" s="19">
        <v>46</v>
      </c>
      <c r="D100" s="17" t="s">
        <v>59</v>
      </c>
      <c r="E100" s="17" t="s">
        <v>351</v>
      </c>
      <c r="F100" s="18">
        <v>44924</v>
      </c>
      <c r="G100" s="20">
        <v>4412</v>
      </c>
      <c r="H100" s="17" t="s">
        <v>112</v>
      </c>
      <c r="I100">
        <v>1.3</v>
      </c>
    </row>
    <row r="101" spans="1:9" x14ac:dyDescent="0.25">
      <c r="A101" s="19">
        <v>372</v>
      </c>
      <c r="B101" s="17" t="s">
        <v>348</v>
      </c>
      <c r="C101" s="19">
        <v>32</v>
      </c>
      <c r="D101" s="17" t="s">
        <v>59</v>
      </c>
      <c r="E101" s="17" t="s">
        <v>40</v>
      </c>
      <c r="F101" s="18">
        <v>45053</v>
      </c>
      <c r="G101" s="20">
        <v>2017</v>
      </c>
      <c r="H101" s="17" t="s">
        <v>219</v>
      </c>
      <c r="I101">
        <v>3.5</v>
      </c>
    </row>
    <row r="102" spans="1:9" x14ac:dyDescent="0.25">
      <c r="A102" s="19">
        <v>241</v>
      </c>
      <c r="B102" s="17" t="s">
        <v>211</v>
      </c>
      <c r="C102" s="19">
        <v>43</v>
      </c>
      <c r="D102" s="17" t="s">
        <v>39</v>
      </c>
      <c r="E102" s="17" t="s">
        <v>351</v>
      </c>
      <c r="F102" s="18">
        <v>45314</v>
      </c>
      <c r="G102" s="20">
        <v>17155</v>
      </c>
      <c r="H102" s="17" t="s">
        <v>46</v>
      </c>
      <c r="I102">
        <v>4.2</v>
      </c>
    </row>
    <row r="103" spans="1:9" x14ac:dyDescent="0.25">
      <c r="A103" s="19">
        <v>268</v>
      </c>
      <c r="B103" s="17" t="s">
        <v>354</v>
      </c>
      <c r="C103" s="19">
        <v>46</v>
      </c>
      <c r="D103" s="17" t="s">
        <v>39</v>
      </c>
      <c r="E103" s="17" t="s">
        <v>351</v>
      </c>
      <c r="F103" s="18">
        <v>45646</v>
      </c>
      <c r="G103" s="20">
        <v>155</v>
      </c>
      <c r="H103" s="17" t="s">
        <v>75</v>
      </c>
      <c r="I103">
        <v>2.4</v>
      </c>
    </row>
    <row r="104" spans="1:9" x14ac:dyDescent="0.25">
      <c r="A104" s="19">
        <v>500</v>
      </c>
      <c r="B104" s="17" t="s">
        <v>357</v>
      </c>
      <c r="C104" s="19">
        <v>49</v>
      </c>
      <c r="D104" s="17" t="s">
        <v>39</v>
      </c>
      <c r="E104" s="17" t="s">
        <v>351</v>
      </c>
      <c r="F104" s="18">
        <v>45063</v>
      </c>
      <c r="G104" s="20">
        <v>226</v>
      </c>
      <c r="H104" s="17" t="s">
        <v>46</v>
      </c>
      <c r="I104">
        <v>1.1000000000000001</v>
      </c>
    </row>
    <row r="105" spans="1:9" x14ac:dyDescent="0.25">
      <c r="A105" s="19">
        <v>75</v>
      </c>
      <c r="B105" s="17" t="s">
        <v>360</v>
      </c>
      <c r="C105" s="19">
        <v>41</v>
      </c>
      <c r="D105" s="17" t="s">
        <v>39</v>
      </c>
      <c r="E105" s="17" t="s">
        <v>124</v>
      </c>
      <c r="F105" s="18">
        <v>45404</v>
      </c>
      <c r="G105" s="20">
        <v>19556</v>
      </c>
      <c r="H105" s="17" t="s">
        <v>75</v>
      </c>
      <c r="I105">
        <v>1.6</v>
      </c>
    </row>
    <row r="106" spans="1:9" x14ac:dyDescent="0.25">
      <c r="A106" s="19">
        <v>331</v>
      </c>
      <c r="B106" s="17" t="s">
        <v>363</v>
      </c>
      <c r="C106" s="19">
        <v>49</v>
      </c>
      <c r="D106" s="17" t="s">
        <v>39</v>
      </c>
      <c r="E106" s="17" t="s">
        <v>81</v>
      </c>
      <c r="F106" s="18">
        <v>44951</v>
      </c>
      <c r="G106" s="20">
        <v>18217</v>
      </c>
      <c r="H106" s="17" t="s">
        <v>26</v>
      </c>
      <c r="I106">
        <v>3</v>
      </c>
    </row>
    <row r="107" spans="1:9" x14ac:dyDescent="0.25">
      <c r="A107" s="19">
        <v>477</v>
      </c>
      <c r="B107" s="17" t="s">
        <v>366</v>
      </c>
      <c r="C107" s="19">
        <v>43</v>
      </c>
      <c r="D107" s="17" t="s">
        <v>59</v>
      </c>
      <c r="E107" s="17" t="s">
        <v>81</v>
      </c>
      <c r="F107" s="18">
        <v>45502</v>
      </c>
      <c r="G107" s="20">
        <v>5879</v>
      </c>
      <c r="H107" s="17" t="s">
        <v>112</v>
      </c>
      <c r="I107">
        <v>4.9000000000000004</v>
      </c>
    </row>
    <row r="108" spans="1:9" x14ac:dyDescent="0.25">
      <c r="A108" s="19">
        <v>422</v>
      </c>
      <c r="B108" s="17" t="s">
        <v>199</v>
      </c>
      <c r="C108" s="19">
        <v>29</v>
      </c>
      <c r="D108" s="17" t="s">
        <v>39</v>
      </c>
      <c r="E108" s="17" t="s">
        <v>351</v>
      </c>
      <c r="F108" s="18">
        <v>45145</v>
      </c>
      <c r="G108" s="20">
        <v>7043</v>
      </c>
      <c r="H108" s="17" t="s">
        <v>67</v>
      </c>
      <c r="I108">
        <v>2.7</v>
      </c>
    </row>
    <row r="109" spans="1:9" x14ac:dyDescent="0.25">
      <c r="A109" s="19">
        <v>278</v>
      </c>
      <c r="B109" s="17" t="s">
        <v>298</v>
      </c>
      <c r="C109" s="19">
        <v>50</v>
      </c>
      <c r="D109" s="17" t="s">
        <v>59</v>
      </c>
      <c r="E109" s="17" t="s">
        <v>124</v>
      </c>
      <c r="F109" s="18">
        <v>45540</v>
      </c>
      <c r="G109" s="20">
        <v>15134</v>
      </c>
      <c r="H109" s="17" t="s">
        <v>112</v>
      </c>
      <c r="I109">
        <v>1.9</v>
      </c>
    </row>
    <row r="110" spans="1:9" x14ac:dyDescent="0.25">
      <c r="A110" s="19">
        <v>81</v>
      </c>
      <c r="B110" s="17" t="s">
        <v>27</v>
      </c>
      <c r="C110" s="19">
        <v>18</v>
      </c>
      <c r="D110" s="17" t="s">
        <v>39</v>
      </c>
      <c r="E110" s="17" t="s">
        <v>351</v>
      </c>
      <c r="F110" s="18">
        <v>45416</v>
      </c>
      <c r="G110" s="20">
        <v>1631</v>
      </c>
      <c r="H110" s="17" t="s">
        <v>75</v>
      </c>
      <c r="I110">
        <v>3.7</v>
      </c>
    </row>
    <row r="111" spans="1:9" x14ac:dyDescent="0.25">
      <c r="A111" s="19">
        <v>243</v>
      </c>
      <c r="B111" s="17" t="s">
        <v>375</v>
      </c>
      <c r="C111" s="19">
        <v>18</v>
      </c>
      <c r="D111" s="17" t="s">
        <v>39</v>
      </c>
      <c r="E111" s="17" t="s">
        <v>34</v>
      </c>
      <c r="F111" s="18">
        <v>45328</v>
      </c>
      <c r="G111" s="20">
        <v>11414</v>
      </c>
      <c r="H111" s="17" t="s">
        <v>219</v>
      </c>
      <c r="I111">
        <v>3.5</v>
      </c>
    </row>
    <row r="112" spans="1:9" x14ac:dyDescent="0.25">
      <c r="A112" s="19">
        <v>203</v>
      </c>
      <c r="B112" s="17" t="s">
        <v>379</v>
      </c>
      <c r="C112" s="19">
        <v>22</v>
      </c>
      <c r="D112" s="17" t="s">
        <v>59</v>
      </c>
      <c r="E112" s="17" t="s">
        <v>351</v>
      </c>
      <c r="F112" s="18">
        <v>44951</v>
      </c>
      <c r="G112" s="20">
        <v>7041</v>
      </c>
      <c r="H112" s="17" t="s">
        <v>46</v>
      </c>
      <c r="I112">
        <v>3.9</v>
      </c>
    </row>
    <row r="113" spans="1:9" x14ac:dyDescent="0.25">
      <c r="A113" s="19">
        <v>213</v>
      </c>
      <c r="B113" s="17" t="s">
        <v>382</v>
      </c>
      <c r="C113" s="19">
        <v>46</v>
      </c>
      <c r="D113" s="17" t="s">
        <v>39</v>
      </c>
      <c r="E113" s="17" t="s">
        <v>106</v>
      </c>
      <c r="F113" s="18">
        <v>45674</v>
      </c>
      <c r="G113" s="20">
        <v>7143</v>
      </c>
      <c r="H113" s="17" t="s">
        <v>112</v>
      </c>
      <c r="I113">
        <v>1.2</v>
      </c>
    </row>
    <row r="114" spans="1:9" x14ac:dyDescent="0.25">
      <c r="A114" s="19">
        <v>282</v>
      </c>
      <c r="B114" s="17" t="s">
        <v>385</v>
      </c>
      <c r="C114" s="19">
        <v>25</v>
      </c>
      <c r="D114" s="17" t="s">
        <v>39</v>
      </c>
      <c r="E114" s="17" t="s">
        <v>124</v>
      </c>
      <c r="F114" s="18">
        <v>44940</v>
      </c>
      <c r="G114" s="20">
        <v>18130</v>
      </c>
      <c r="H114" s="17" t="s">
        <v>112</v>
      </c>
      <c r="I114">
        <v>2.7</v>
      </c>
    </row>
    <row r="115" spans="1:9" x14ac:dyDescent="0.25">
      <c r="A115" s="19">
        <v>354</v>
      </c>
      <c r="B115" s="17" t="s">
        <v>389</v>
      </c>
      <c r="C115" s="19">
        <v>18</v>
      </c>
      <c r="D115" s="17" t="s">
        <v>59</v>
      </c>
      <c r="E115" s="17" t="s">
        <v>124</v>
      </c>
      <c r="F115" s="18">
        <v>44799</v>
      </c>
      <c r="G115" s="20">
        <v>5660</v>
      </c>
      <c r="H115" s="17" t="s">
        <v>26</v>
      </c>
      <c r="I115">
        <v>3.5</v>
      </c>
    </row>
    <row r="116" spans="1:9" x14ac:dyDescent="0.25">
      <c r="A116" s="19">
        <v>365</v>
      </c>
      <c r="B116" s="17" t="s">
        <v>91</v>
      </c>
      <c r="C116" s="19">
        <v>40</v>
      </c>
      <c r="D116" s="17" t="s">
        <v>59</v>
      </c>
      <c r="E116" s="17" t="s">
        <v>106</v>
      </c>
      <c r="F116" s="18">
        <v>45694</v>
      </c>
      <c r="G116" s="20">
        <v>6383</v>
      </c>
      <c r="H116" s="17" t="s">
        <v>67</v>
      </c>
      <c r="I116">
        <v>4.3</v>
      </c>
    </row>
    <row r="117" spans="1:9" x14ac:dyDescent="0.25">
      <c r="A117" s="19">
        <v>146</v>
      </c>
      <c r="B117" s="17" t="s">
        <v>9</v>
      </c>
      <c r="C117" s="19">
        <v>45</v>
      </c>
      <c r="D117" s="17" t="s">
        <v>39</v>
      </c>
      <c r="E117" s="17" t="s">
        <v>106</v>
      </c>
      <c r="F117" s="18">
        <v>44868</v>
      </c>
      <c r="G117" s="20">
        <v>7038</v>
      </c>
      <c r="H117" s="17" t="s">
        <v>75</v>
      </c>
      <c r="I117">
        <v>1.5</v>
      </c>
    </row>
    <row r="118" spans="1:9" x14ac:dyDescent="0.25">
      <c r="A118" s="19">
        <v>421</v>
      </c>
      <c r="B118" s="17" t="s">
        <v>324</v>
      </c>
      <c r="C118" s="19">
        <v>41</v>
      </c>
      <c r="D118" s="17" t="s">
        <v>39</v>
      </c>
      <c r="E118" s="17" t="s">
        <v>106</v>
      </c>
      <c r="F118" s="18">
        <v>45282</v>
      </c>
      <c r="G118" s="20">
        <v>9610</v>
      </c>
      <c r="H118" s="17" t="s">
        <v>67</v>
      </c>
      <c r="I118">
        <v>1.6</v>
      </c>
    </row>
    <row r="119" spans="1:9" x14ac:dyDescent="0.25">
      <c r="A119" s="19">
        <v>109</v>
      </c>
      <c r="B119" s="17" t="s">
        <v>398</v>
      </c>
      <c r="C119" s="19">
        <v>52</v>
      </c>
      <c r="D119" s="17" t="s">
        <v>59</v>
      </c>
      <c r="E119" s="17" t="s">
        <v>40</v>
      </c>
      <c r="F119" s="18">
        <v>45143</v>
      </c>
      <c r="G119" s="20">
        <v>1453</v>
      </c>
      <c r="H119" s="17" t="s">
        <v>46</v>
      </c>
      <c r="I119">
        <v>2.5</v>
      </c>
    </row>
    <row r="120" spans="1:9" x14ac:dyDescent="0.25">
      <c r="A120" s="19">
        <v>51</v>
      </c>
      <c r="B120" s="17" t="s">
        <v>157</v>
      </c>
      <c r="C120" s="19">
        <v>41</v>
      </c>
      <c r="D120" s="17" t="s">
        <v>59</v>
      </c>
      <c r="E120" s="17" t="s">
        <v>106</v>
      </c>
      <c r="F120" s="18">
        <v>45283</v>
      </c>
      <c r="G120" s="20">
        <v>6413</v>
      </c>
      <c r="H120" s="17" t="s">
        <v>46</v>
      </c>
      <c r="I120">
        <v>4</v>
      </c>
    </row>
    <row r="121" spans="1:9" x14ac:dyDescent="0.25">
      <c r="A121" s="19">
        <v>436</v>
      </c>
      <c r="B121" s="17" t="s">
        <v>403</v>
      </c>
      <c r="C121" s="19">
        <v>51</v>
      </c>
      <c r="D121" s="17" t="s">
        <v>39</v>
      </c>
      <c r="E121" s="17" t="s">
        <v>106</v>
      </c>
      <c r="F121" s="18">
        <v>44852</v>
      </c>
      <c r="G121" s="20">
        <v>3787</v>
      </c>
      <c r="H121" s="17" t="s">
        <v>26</v>
      </c>
      <c r="I121">
        <v>4.5</v>
      </c>
    </row>
    <row r="122" spans="1:9" x14ac:dyDescent="0.25">
      <c r="A122" s="19">
        <v>15</v>
      </c>
      <c r="B122" s="17" t="s">
        <v>407</v>
      </c>
      <c r="C122" s="19">
        <v>41</v>
      </c>
      <c r="D122" s="17" t="s">
        <v>39</v>
      </c>
      <c r="E122" s="17" t="s">
        <v>124</v>
      </c>
      <c r="F122" s="18">
        <v>45051</v>
      </c>
      <c r="G122" s="20">
        <v>7286</v>
      </c>
      <c r="H122" s="17" t="s">
        <v>26</v>
      </c>
      <c r="I122">
        <v>3.1</v>
      </c>
    </row>
    <row r="123" spans="1:9" x14ac:dyDescent="0.25">
      <c r="A123" s="19">
        <v>465</v>
      </c>
      <c r="B123" s="17" t="s">
        <v>80</v>
      </c>
      <c r="C123" s="19">
        <v>30</v>
      </c>
      <c r="D123" s="17" t="s">
        <v>59</v>
      </c>
      <c r="E123" s="17" t="s">
        <v>40</v>
      </c>
      <c r="F123" s="18">
        <v>45682</v>
      </c>
      <c r="G123" s="20">
        <v>3328</v>
      </c>
      <c r="H123" s="17" t="s">
        <v>46</v>
      </c>
      <c r="I123">
        <v>1.3</v>
      </c>
    </row>
    <row r="124" spans="1:9" x14ac:dyDescent="0.25">
      <c r="A124" s="19">
        <v>391</v>
      </c>
      <c r="B124" s="17" t="s">
        <v>286</v>
      </c>
      <c r="C124" s="19">
        <v>45</v>
      </c>
      <c r="D124" s="17" t="s">
        <v>59</v>
      </c>
      <c r="E124" s="17" t="s">
        <v>124</v>
      </c>
      <c r="F124" s="18">
        <v>45165</v>
      </c>
      <c r="G124" s="20">
        <v>14331</v>
      </c>
      <c r="H124" s="17" t="s">
        <v>112</v>
      </c>
      <c r="I124">
        <v>3.3</v>
      </c>
    </row>
    <row r="125" spans="1:9" x14ac:dyDescent="0.25">
      <c r="A125" s="19">
        <v>115</v>
      </c>
      <c r="B125" s="17" t="s">
        <v>414</v>
      </c>
      <c r="C125" s="19">
        <v>52</v>
      </c>
      <c r="D125" s="17" t="s">
        <v>39</v>
      </c>
      <c r="E125" s="17" t="s">
        <v>34</v>
      </c>
      <c r="F125" s="18">
        <v>45214</v>
      </c>
      <c r="G125" s="20">
        <v>3819</v>
      </c>
      <c r="H125" s="17" t="s">
        <v>112</v>
      </c>
      <c r="I125">
        <v>2.7</v>
      </c>
    </row>
    <row r="126" spans="1:9" x14ac:dyDescent="0.25">
      <c r="A126" s="19">
        <v>244</v>
      </c>
      <c r="B126" s="17" t="s">
        <v>417</v>
      </c>
      <c r="C126" s="19">
        <v>29</v>
      </c>
      <c r="D126" s="17" t="s">
        <v>59</v>
      </c>
      <c r="E126" s="17" t="s">
        <v>106</v>
      </c>
      <c r="F126" s="18">
        <v>45227</v>
      </c>
      <c r="G126" s="20">
        <v>12991</v>
      </c>
      <c r="H126" s="17" t="s">
        <v>46</v>
      </c>
      <c r="I126">
        <v>4.5</v>
      </c>
    </row>
    <row r="127" spans="1:9" x14ac:dyDescent="0.25">
      <c r="A127" s="19">
        <v>174</v>
      </c>
      <c r="B127" s="17" t="s">
        <v>423</v>
      </c>
      <c r="C127" s="19">
        <v>49</v>
      </c>
      <c r="D127" s="17" t="s">
        <v>59</v>
      </c>
      <c r="E127" s="17" t="s">
        <v>81</v>
      </c>
      <c r="F127" s="18">
        <v>44985</v>
      </c>
      <c r="G127" s="20">
        <v>10115</v>
      </c>
      <c r="H127" s="17" t="s">
        <v>46</v>
      </c>
      <c r="I127">
        <v>1.1000000000000001</v>
      </c>
    </row>
    <row r="128" spans="1:9" x14ac:dyDescent="0.25">
      <c r="A128" s="19">
        <v>99</v>
      </c>
      <c r="B128" s="17" t="s">
        <v>426</v>
      </c>
      <c r="C128" s="19">
        <v>45</v>
      </c>
      <c r="D128" s="17" t="s">
        <v>59</v>
      </c>
      <c r="E128" s="17" t="s">
        <v>40</v>
      </c>
      <c r="F128" s="18">
        <v>45306</v>
      </c>
      <c r="G128" s="20">
        <v>5745</v>
      </c>
      <c r="H128" s="17" t="s">
        <v>46</v>
      </c>
      <c r="I128">
        <v>1.3</v>
      </c>
    </row>
    <row r="129" spans="1:9" x14ac:dyDescent="0.25">
      <c r="A129" s="19">
        <v>160</v>
      </c>
      <c r="B129" s="17" t="s">
        <v>429</v>
      </c>
      <c r="C129" s="19">
        <v>44</v>
      </c>
      <c r="D129" s="17" t="s">
        <v>39</v>
      </c>
      <c r="E129" s="17" t="s">
        <v>124</v>
      </c>
      <c r="F129" s="18">
        <v>45257</v>
      </c>
      <c r="G129" s="20">
        <v>15206</v>
      </c>
      <c r="H129" s="17" t="s">
        <v>75</v>
      </c>
      <c r="I129">
        <v>1.3</v>
      </c>
    </row>
    <row r="130" spans="1:9" x14ac:dyDescent="0.25">
      <c r="A130" s="19">
        <v>250</v>
      </c>
      <c r="B130" s="17" t="s">
        <v>432</v>
      </c>
      <c r="C130" s="19">
        <v>52</v>
      </c>
      <c r="D130" s="17" t="s">
        <v>39</v>
      </c>
      <c r="E130" s="17" t="s">
        <v>40</v>
      </c>
      <c r="F130" s="18">
        <v>45150</v>
      </c>
      <c r="G130" s="20">
        <v>17007</v>
      </c>
      <c r="H130" s="17" t="s">
        <v>26</v>
      </c>
      <c r="I130">
        <v>4.5</v>
      </c>
    </row>
    <row r="131" spans="1:9" x14ac:dyDescent="0.25">
      <c r="A131" s="19">
        <v>42</v>
      </c>
      <c r="B131" s="17" t="s">
        <v>435</v>
      </c>
      <c r="C131" s="19">
        <v>26</v>
      </c>
      <c r="D131" s="17" t="s">
        <v>59</v>
      </c>
      <c r="E131" s="17" t="s">
        <v>40</v>
      </c>
      <c r="F131" s="18">
        <v>45459</v>
      </c>
      <c r="G131" s="20">
        <v>15468</v>
      </c>
      <c r="H131" s="17" t="s">
        <v>219</v>
      </c>
      <c r="I131">
        <v>1.7</v>
      </c>
    </row>
    <row r="132" spans="1:9" x14ac:dyDescent="0.25">
      <c r="A132" s="19">
        <v>271</v>
      </c>
      <c r="B132" s="17" t="s">
        <v>438</v>
      </c>
      <c r="C132" s="19">
        <v>19</v>
      </c>
      <c r="D132" s="17" t="s">
        <v>59</v>
      </c>
      <c r="E132" s="17" t="s">
        <v>40</v>
      </c>
      <c r="F132" s="18">
        <v>45281</v>
      </c>
      <c r="G132" s="20">
        <v>8250</v>
      </c>
      <c r="H132" s="17" t="s">
        <v>75</v>
      </c>
      <c r="I132">
        <v>1.9</v>
      </c>
    </row>
    <row r="133" spans="1:9" x14ac:dyDescent="0.25">
      <c r="A133" s="19">
        <v>205</v>
      </c>
      <c r="B133" s="17" t="s">
        <v>157</v>
      </c>
      <c r="C133" s="19">
        <v>23</v>
      </c>
      <c r="D133" s="17" t="s">
        <v>59</v>
      </c>
      <c r="E133" s="17" t="s">
        <v>40</v>
      </c>
      <c r="F133" s="18">
        <v>45227</v>
      </c>
      <c r="G133" s="20">
        <v>17815</v>
      </c>
      <c r="H133" s="17" t="s">
        <v>112</v>
      </c>
      <c r="I133">
        <v>3.6</v>
      </c>
    </row>
    <row r="134" spans="1:9" x14ac:dyDescent="0.25">
      <c r="A134" s="19">
        <v>218</v>
      </c>
      <c r="B134" s="17" t="s">
        <v>443</v>
      </c>
      <c r="C134" s="19">
        <v>43</v>
      </c>
      <c r="D134" s="17" t="s">
        <v>59</v>
      </c>
      <c r="E134" s="17" t="s">
        <v>351</v>
      </c>
      <c r="F134" s="18">
        <v>45755</v>
      </c>
      <c r="G134" s="20">
        <v>8041</v>
      </c>
      <c r="H134" s="17" t="s">
        <v>112</v>
      </c>
      <c r="I134">
        <v>4.7</v>
      </c>
    </row>
    <row r="135" spans="1:9" x14ac:dyDescent="0.25">
      <c r="A135" s="19">
        <v>80</v>
      </c>
      <c r="B135" s="17" t="s">
        <v>319</v>
      </c>
      <c r="C135" s="19">
        <v>32</v>
      </c>
      <c r="D135" s="17" t="s">
        <v>39</v>
      </c>
      <c r="E135" s="17" t="s">
        <v>351</v>
      </c>
      <c r="F135" s="18">
        <v>44877</v>
      </c>
      <c r="G135" s="20">
        <v>1314</v>
      </c>
      <c r="H135" s="17" t="s">
        <v>26</v>
      </c>
      <c r="I135">
        <v>1.9</v>
      </c>
    </row>
    <row r="136" spans="1:9" x14ac:dyDescent="0.25">
      <c r="A136" s="19">
        <v>29</v>
      </c>
      <c r="B136" s="17" t="s">
        <v>448</v>
      </c>
      <c r="C136" s="19">
        <v>45</v>
      </c>
      <c r="D136" s="17" t="s">
        <v>39</v>
      </c>
      <c r="E136" s="17" t="s">
        <v>34</v>
      </c>
      <c r="F136" s="18">
        <v>45134</v>
      </c>
      <c r="G136" s="20">
        <v>7751</v>
      </c>
      <c r="H136" s="17" t="s">
        <v>219</v>
      </c>
      <c r="I136">
        <v>2.8</v>
      </c>
    </row>
    <row r="137" spans="1:9" x14ac:dyDescent="0.25">
      <c r="A137" s="19">
        <v>345</v>
      </c>
      <c r="B137" s="17" t="s">
        <v>451</v>
      </c>
      <c r="C137" s="19">
        <v>59</v>
      </c>
      <c r="D137" s="17" t="s">
        <v>59</v>
      </c>
      <c r="E137" s="17" t="s">
        <v>34</v>
      </c>
      <c r="F137" s="18">
        <v>45724</v>
      </c>
      <c r="G137" s="20">
        <v>16489</v>
      </c>
      <c r="H137" s="17" t="s">
        <v>112</v>
      </c>
      <c r="I137">
        <v>4.5</v>
      </c>
    </row>
    <row r="138" spans="1:9" x14ac:dyDescent="0.25">
      <c r="A138" s="19">
        <v>364</v>
      </c>
      <c r="B138" s="17" t="s">
        <v>454</v>
      </c>
      <c r="C138" s="19">
        <v>49</v>
      </c>
      <c r="D138" s="17" t="s">
        <v>59</v>
      </c>
      <c r="E138" s="17" t="s">
        <v>106</v>
      </c>
      <c r="F138" s="18">
        <v>45295</v>
      </c>
      <c r="G138" s="20">
        <v>4308</v>
      </c>
      <c r="H138" s="17" t="s">
        <v>46</v>
      </c>
      <c r="I138">
        <v>1.6</v>
      </c>
    </row>
    <row r="139" spans="1:9" x14ac:dyDescent="0.25">
      <c r="A139" s="19">
        <v>257</v>
      </c>
      <c r="B139" s="17" t="s">
        <v>182</v>
      </c>
      <c r="C139" s="19">
        <v>41</v>
      </c>
      <c r="D139" s="17" t="s">
        <v>39</v>
      </c>
      <c r="E139" s="17" t="s">
        <v>40</v>
      </c>
      <c r="F139" s="18">
        <v>44702</v>
      </c>
      <c r="G139" s="20">
        <v>5340</v>
      </c>
      <c r="H139" s="17" t="s">
        <v>67</v>
      </c>
      <c r="I139">
        <v>2.6</v>
      </c>
    </row>
    <row r="140" spans="1:9" x14ac:dyDescent="0.25">
      <c r="A140" s="19">
        <v>466</v>
      </c>
      <c r="B140" s="17" t="s">
        <v>133</v>
      </c>
      <c r="C140" s="19">
        <v>29</v>
      </c>
      <c r="D140" s="17" t="s">
        <v>59</v>
      </c>
      <c r="E140" s="17" t="s">
        <v>40</v>
      </c>
      <c r="F140" s="18">
        <v>45381</v>
      </c>
      <c r="G140" s="20">
        <v>14482</v>
      </c>
      <c r="H140" s="17" t="s">
        <v>75</v>
      </c>
      <c r="I140">
        <v>2.6</v>
      </c>
    </row>
    <row r="141" spans="1:9" x14ac:dyDescent="0.25">
      <c r="A141" s="19">
        <v>58</v>
      </c>
      <c r="B141" s="17" t="s">
        <v>389</v>
      </c>
      <c r="C141" s="19">
        <v>21</v>
      </c>
      <c r="D141" s="17" t="s">
        <v>59</v>
      </c>
      <c r="E141" s="17" t="s">
        <v>124</v>
      </c>
      <c r="F141" s="18">
        <v>44941</v>
      </c>
      <c r="G141" s="20">
        <v>7594</v>
      </c>
      <c r="H141" s="17" t="s">
        <v>112</v>
      </c>
      <c r="I141">
        <v>3.3</v>
      </c>
    </row>
    <row r="142" spans="1:9" x14ac:dyDescent="0.25">
      <c r="A142" s="19">
        <v>427</v>
      </c>
      <c r="B142" s="17" t="s">
        <v>463</v>
      </c>
      <c r="C142" s="19">
        <v>56</v>
      </c>
      <c r="D142" s="17" t="s">
        <v>39</v>
      </c>
      <c r="E142" s="17" t="s">
        <v>351</v>
      </c>
      <c r="F142" s="18">
        <v>44940</v>
      </c>
      <c r="G142" s="20">
        <v>4770</v>
      </c>
      <c r="H142" s="17" t="s">
        <v>46</v>
      </c>
      <c r="I142">
        <v>2.1</v>
      </c>
    </row>
    <row r="143" spans="1:9" x14ac:dyDescent="0.25">
      <c r="A143" s="19">
        <v>63</v>
      </c>
      <c r="B143" s="17" t="s">
        <v>466</v>
      </c>
      <c r="C143" s="19">
        <v>27</v>
      </c>
      <c r="D143" s="17" t="s">
        <v>59</v>
      </c>
      <c r="E143" s="17" t="s">
        <v>124</v>
      </c>
      <c r="F143" s="18">
        <v>44926</v>
      </c>
      <c r="G143" s="20">
        <v>1910</v>
      </c>
      <c r="H143" s="17" t="s">
        <v>46</v>
      </c>
      <c r="I143">
        <v>2.8</v>
      </c>
    </row>
    <row r="144" spans="1:9" x14ac:dyDescent="0.25">
      <c r="A144" s="19">
        <v>388</v>
      </c>
      <c r="B144" s="17" t="s">
        <v>292</v>
      </c>
      <c r="C144" s="19">
        <v>36</v>
      </c>
      <c r="D144" s="17" t="s">
        <v>39</v>
      </c>
      <c r="E144" s="17" t="s">
        <v>106</v>
      </c>
      <c r="F144" s="18">
        <v>45697</v>
      </c>
      <c r="G144" s="20">
        <v>19316</v>
      </c>
      <c r="H144" s="17" t="s">
        <v>26</v>
      </c>
      <c r="I144">
        <v>2.2000000000000002</v>
      </c>
    </row>
    <row r="145" spans="1:9" x14ac:dyDescent="0.25">
      <c r="A145" s="19">
        <v>112</v>
      </c>
      <c r="B145" s="17" t="s">
        <v>471</v>
      </c>
      <c r="C145" s="19">
        <v>44</v>
      </c>
      <c r="D145" s="17" t="s">
        <v>39</v>
      </c>
      <c r="E145" s="17" t="s">
        <v>40</v>
      </c>
      <c r="F145" s="18">
        <v>45048</v>
      </c>
      <c r="G145" s="20">
        <v>767</v>
      </c>
      <c r="H145" s="17" t="s">
        <v>75</v>
      </c>
      <c r="I145">
        <v>3.5</v>
      </c>
    </row>
    <row r="146" spans="1:9" x14ac:dyDescent="0.25">
      <c r="A146" s="19">
        <v>85</v>
      </c>
      <c r="B146" s="17" t="s">
        <v>474</v>
      </c>
      <c r="C146" s="19">
        <v>41</v>
      </c>
      <c r="D146" s="17" t="s">
        <v>59</v>
      </c>
      <c r="E146" s="17" t="s">
        <v>351</v>
      </c>
      <c r="F146" s="18">
        <v>45769</v>
      </c>
      <c r="G146" s="20">
        <v>13528</v>
      </c>
      <c r="H146" s="17" t="s">
        <v>26</v>
      </c>
      <c r="I146">
        <v>1.7</v>
      </c>
    </row>
    <row r="147" spans="1:9" x14ac:dyDescent="0.25">
      <c r="A147" s="19">
        <v>237</v>
      </c>
      <c r="B147" s="17" t="s">
        <v>477</v>
      </c>
      <c r="C147" s="19">
        <v>59</v>
      </c>
      <c r="D147" s="17" t="s">
        <v>59</v>
      </c>
      <c r="E147" s="17" t="s">
        <v>40</v>
      </c>
      <c r="F147" s="18">
        <v>45659</v>
      </c>
      <c r="G147" s="20">
        <v>18371</v>
      </c>
      <c r="H147" s="17" t="s">
        <v>75</v>
      </c>
      <c r="I147">
        <v>3.9</v>
      </c>
    </row>
    <row r="148" spans="1:9" x14ac:dyDescent="0.25">
      <c r="A148" s="19">
        <v>272</v>
      </c>
      <c r="B148" s="17" t="s">
        <v>480</v>
      </c>
      <c r="C148" s="19">
        <v>52</v>
      </c>
      <c r="D148" s="17" t="s">
        <v>59</v>
      </c>
      <c r="E148" s="17" t="s">
        <v>34</v>
      </c>
      <c r="F148" s="18">
        <v>45216</v>
      </c>
      <c r="G148" s="20">
        <v>2225</v>
      </c>
      <c r="H148" s="17" t="s">
        <v>112</v>
      </c>
      <c r="I148">
        <v>1.2</v>
      </c>
    </row>
    <row r="149" spans="1:9" x14ac:dyDescent="0.25">
      <c r="A149" s="19">
        <v>343</v>
      </c>
      <c r="B149" s="17" t="s">
        <v>84</v>
      </c>
      <c r="C149" s="19">
        <v>56</v>
      </c>
      <c r="D149" s="17" t="s">
        <v>39</v>
      </c>
      <c r="E149" s="17" t="s">
        <v>34</v>
      </c>
      <c r="F149" s="18">
        <v>45059</v>
      </c>
      <c r="G149" s="20">
        <v>9211</v>
      </c>
      <c r="H149" s="17" t="s">
        <v>219</v>
      </c>
      <c r="I149">
        <v>3.3</v>
      </c>
    </row>
    <row r="150" spans="1:9" x14ac:dyDescent="0.25">
      <c r="A150" s="19">
        <v>228</v>
      </c>
      <c r="B150" s="17" t="s">
        <v>485</v>
      </c>
      <c r="C150" s="19">
        <v>35</v>
      </c>
      <c r="D150" s="17" t="s">
        <v>39</v>
      </c>
      <c r="E150" s="17" t="s">
        <v>351</v>
      </c>
      <c r="F150" s="18">
        <v>44747</v>
      </c>
      <c r="G150" s="20">
        <v>17244</v>
      </c>
      <c r="H150" s="17" t="s">
        <v>219</v>
      </c>
      <c r="I150">
        <v>2.2999999999999998</v>
      </c>
    </row>
    <row r="151" spans="1:9" x14ac:dyDescent="0.25">
      <c r="A151" s="19">
        <v>130</v>
      </c>
      <c r="B151" s="17" t="s">
        <v>53</v>
      </c>
      <c r="C151" s="19">
        <v>30</v>
      </c>
      <c r="D151" s="17" t="s">
        <v>59</v>
      </c>
      <c r="E151" s="17" t="s">
        <v>351</v>
      </c>
      <c r="F151" s="18">
        <v>45009</v>
      </c>
      <c r="G151" s="20">
        <v>12777</v>
      </c>
      <c r="H151" s="17" t="s">
        <v>26</v>
      </c>
      <c r="I151">
        <v>1.6</v>
      </c>
    </row>
    <row r="152" spans="1:9" x14ac:dyDescent="0.25">
      <c r="A152" s="19">
        <v>166</v>
      </c>
      <c r="B152" s="17" t="s">
        <v>98</v>
      </c>
      <c r="C152" s="19">
        <v>25</v>
      </c>
      <c r="D152" s="17" t="s">
        <v>39</v>
      </c>
      <c r="E152" s="17" t="s">
        <v>81</v>
      </c>
      <c r="F152" s="18">
        <v>45213</v>
      </c>
      <c r="G152" s="20">
        <v>15544</v>
      </c>
      <c r="H152" s="17" t="s">
        <v>112</v>
      </c>
      <c r="I152">
        <v>3.9</v>
      </c>
    </row>
    <row r="153" spans="1:9" x14ac:dyDescent="0.25">
      <c r="A153" s="19">
        <v>97</v>
      </c>
      <c r="B153" s="17" t="s">
        <v>492</v>
      </c>
      <c r="C153" s="19">
        <v>56</v>
      </c>
      <c r="D153" s="17" t="s">
        <v>59</v>
      </c>
      <c r="E153" s="17" t="s">
        <v>81</v>
      </c>
      <c r="F153" s="18">
        <v>44719</v>
      </c>
      <c r="G153" s="20">
        <v>17740</v>
      </c>
      <c r="H153" s="17" t="s">
        <v>67</v>
      </c>
      <c r="I153">
        <v>4.5999999999999996</v>
      </c>
    </row>
    <row r="154" spans="1:9" x14ac:dyDescent="0.25">
      <c r="A154" s="19">
        <v>489</v>
      </c>
      <c r="B154" s="17" t="s">
        <v>160</v>
      </c>
      <c r="C154" s="19">
        <v>54</v>
      </c>
      <c r="D154" s="17" t="s">
        <v>39</v>
      </c>
      <c r="E154" s="17" t="s">
        <v>34</v>
      </c>
      <c r="F154" s="18">
        <v>44871</v>
      </c>
      <c r="G154" s="20">
        <v>10480</v>
      </c>
      <c r="H154" s="17" t="s">
        <v>67</v>
      </c>
      <c r="I154">
        <v>3</v>
      </c>
    </row>
    <row r="155" spans="1:9" x14ac:dyDescent="0.25">
      <c r="A155" s="19">
        <v>297</v>
      </c>
      <c r="B155" s="17" t="s">
        <v>303</v>
      </c>
      <c r="C155" s="19">
        <v>38</v>
      </c>
      <c r="D155" s="17" t="s">
        <v>59</v>
      </c>
      <c r="E155" s="17" t="s">
        <v>40</v>
      </c>
      <c r="F155" s="18">
        <v>45499</v>
      </c>
      <c r="G155" s="20">
        <v>10367</v>
      </c>
      <c r="H155" s="17" t="s">
        <v>26</v>
      </c>
      <c r="I155">
        <v>1.7</v>
      </c>
    </row>
    <row r="156" spans="1:9" x14ac:dyDescent="0.25">
      <c r="A156" s="19">
        <v>142</v>
      </c>
      <c r="B156" s="17" t="s">
        <v>501</v>
      </c>
      <c r="C156" s="19">
        <v>41</v>
      </c>
      <c r="D156" s="17" t="s">
        <v>59</v>
      </c>
      <c r="E156" s="17" t="s">
        <v>81</v>
      </c>
      <c r="F156" s="18">
        <v>45026</v>
      </c>
      <c r="G156" s="20">
        <v>13650</v>
      </c>
      <c r="H156" s="17" t="s">
        <v>219</v>
      </c>
      <c r="I156">
        <v>3.6</v>
      </c>
    </row>
    <row r="157" spans="1:9" x14ac:dyDescent="0.25">
      <c r="A157" s="19">
        <v>464</v>
      </c>
      <c r="B157" s="17" t="s">
        <v>71</v>
      </c>
      <c r="C157" s="19">
        <v>46</v>
      </c>
      <c r="D157" s="17" t="s">
        <v>59</v>
      </c>
      <c r="E157" s="17" t="s">
        <v>106</v>
      </c>
      <c r="F157" s="18">
        <v>45638</v>
      </c>
      <c r="G157" s="20">
        <v>7963</v>
      </c>
      <c r="H157" s="17" t="s">
        <v>67</v>
      </c>
      <c r="I157">
        <v>1</v>
      </c>
    </row>
    <row r="158" spans="1:9" x14ac:dyDescent="0.25">
      <c r="A158" s="19">
        <v>188</v>
      </c>
      <c r="B158" s="17" t="s">
        <v>119</v>
      </c>
      <c r="C158" s="19">
        <v>54</v>
      </c>
      <c r="D158" s="17" t="s">
        <v>39</v>
      </c>
      <c r="E158" s="17" t="s">
        <v>34</v>
      </c>
      <c r="F158" s="18">
        <v>44875</v>
      </c>
      <c r="G158" s="20">
        <v>10140</v>
      </c>
      <c r="H158" s="17" t="s">
        <v>219</v>
      </c>
      <c r="I158">
        <v>2</v>
      </c>
    </row>
    <row r="159" spans="1:9" x14ac:dyDescent="0.25">
      <c r="A159" s="19">
        <v>369</v>
      </c>
      <c r="B159" s="17" t="s">
        <v>508</v>
      </c>
      <c r="C159" s="19">
        <v>39</v>
      </c>
      <c r="D159" s="17" t="s">
        <v>59</v>
      </c>
      <c r="E159" s="17" t="s">
        <v>124</v>
      </c>
      <c r="F159" s="18">
        <v>45404</v>
      </c>
      <c r="G159" s="20">
        <v>12707</v>
      </c>
      <c r="H159" s="17" t="s">
        <v>75</v>
      </c>
      <c r="I159">
        <v>2.1</v>
      </c>
    </row>
    <row r="160" spans="1:9" x14ac:dyDescent="0.25">
      <c r="A160" s="19">
        <v>221</v>
      </c>
      <c r="B160" s="17" t="s">
        <v>382</v>
      </c>
      <c r="C160" s="19">
        <v>37</v>
      </c>
      <c r="D160" s="17" t="s">
        <v>59</v>
      </c>
      <c r="E160" s="17" t="s">
        <v>34</v>
      </c>
      <c r="F160" s="18">
        <v>45444</v>
      </c>
      <c r="G160" s="20">
        <v>4400</v>
      </c>
      <c r="H160" s="17" t="s">
        <v>67</v>
      </c>
      <c r="I160">
        <v>2.2000000000000002</v>
      </c>
    </row>
    <row r="161" spans="1:9" x14ac:dyDescent="0.25">
      <c r="A161" s="19">
        <v>229</v>
      </c>
      <c r="B161" s="17" t="s">
        <v>245</v>
      </c>
      <c r="C161" s="19">
        <v>41</v>
      </c>
      <c r="D161" s="17" t="s">
        <v>59</v>
      </c>
      <c r="E161" s="17" t="s">
        <v>81</v>
      </c>
      <c r="F161" s="18">
        <v>45682</v>
      </c>
      <c r="G161" s="20">
        <v>7450</v>
      </c>
      <c r="H161" s="17" t="s">
        <v>67</v>
      </c>
      <c r="I161">
        <v>4.3</v>
      </c>
    </row>
    <row r="162" spans="1:9" x14ac:dyDescent="0.25">
      <c r="A162" s="19">
        <v>323</v>
      </c>
      <c r="B162" s="17" t="s">
        <v>185</v>
      </c>
      <c r="C162" s="19">
        <v>20</v>
      </c>
      <c r="D162" s="17" t="s">
        <v>39</v>
      </c>
      <c r="E162" s="17" t="s">
        <v>106</v>
      </c>
      <c r="F162" s="18">
        <v>45256</v>
      </c>
      <c r="G162" s="20">
        <v>15779</v>
      </c>
      <c r="H162" s="17" t="s">
        <v>219</v>
      </c>
      <c r="I162">
        <v>4.2</v>
      </c>
    </row>
    <row r="163" spans="1:9" x14ac:dyDescent="0.25">
      <c r="A163" s="19">
        <v>396</v>
      </c>
      <c r="B163" s="17" t="s">
        <v>43</v>
      </c>
      <c r="C163" s="19">
        <v>26</v>
      </c>
      <c r="D163" s="17" t="s">
        <v>59</v>
      </c>
      <c r="E163" s="17" t="s">
        <v>34</v>
      </c>
      <c r="F163" s="18">
        <v>44972</v>
      </c>
      <c r="G163" s="20">
        <v>12319</v>
      </c>
      <c r="H163" s="17" t="s">
        <v>75</v>
      </c>
      <c r="I163">
        <v>4.9000000000000004</v>
      </c>
    </row>
    <row r="164" spans="1:9" x14ac:dyDescent="0.25">
      <c r="A164" s="19">
        <v>360</v>
      </c>
      <c r="B164" s="17" t="s">
        <v>518</v>
      </c>
      <c r="C164" s="19">
        <v>32</v>
      </c>
      <c r="D164" s="17" t="s">
        <v>39</v>
      </c>
      <c r="E164" s="17" t="s">
        <v>81</v>
      </c>
      <c r="F164" s="18">
        <v>45765</v>
      </c>
      <c r="G164" s="20">
        <v>6569</v>
      </c>
      <c r="H164" s="17" t="s">
        <v>112</v>
      </c>
      <c r="I164">
        <v>4.3</v>
      </c>
    </row>
    <row r="165" spans="1:9" x14ac:dyDescent="0.25">
      <c r="A165" s="19">
        <v>82</v>
      </c>
      <c r="B165" s="17" t="s">
        <v>521</v>
      </c>
      <c r="C165" s="19">
        <v>42</v>
      </c>
      <c r="D165" s="17" t="s">
        <v>59</v>
      </c>
      <c r="E165" s="17" t="s">
        <v>40</v>
      </c>
      <c r="F165" s="18">
        <v>45767</v>
      </c>
      <c r="G165" s="20">
        <v>923</v>
      </c>
      <c r="H165" s="17" t="s">
        <v>75</v>
      </c>
      <c r="I165">
        <v>1.1000000000000001</v>
      </c>
    </row>
    <row r="166" spans="1:9" x14ac:dyDescent="0.25">
      <c r="A166" s="19">
        <v>355</v>
      </c>
      <c r="B166" s="17" t="s">
        <v>216</v>
      </c>
      <c r="C166" s="19">
        <v>25</v>
      </c>
      <c r="D166" s="17" t="s">
        <v>39</v>
      </c>
      <c r="E166" s="17" t="s">
        <v>106</v>
      </c>
      <c r="F166" s="18">
        <v>44863</v>
      </c>
      <c r="G166" s="20">
        <v>946</v>
      </c>
      <c r="H166" s="17" t="s">
        <v>46</v>
      </c>
      <c r="I166">
        <v>4</v>
      </c>
    </row>
    <row r="167" spans="1:9" x14ac:dyDescent="0.25">
      <c r="A167" s="19">
        <v>322</v>
      </c>
      <c r="B167" s="17" t="s">
        <v>289</v>
      </c>
      <c r="C167" s="19">
        <v>50</v>
      </c>
      <c r="D167" s="17" t="s">
        <v>39</v>
      </c>
      <c r="E167" s="17" t="s">
        <v>124</v>
      </c>
      <c r="F167" s="18">
        <v>45756</v>
      </c>
      <c r="G167" s="20">
        <v>19223</v>
      </c>
      <c r="H167" s="17" t="s">
        <v>26</v>
      </c>
      <c r="I167">
        <v>4.4000000000000004</v>
      </c>
    </row>
    <row r="168" spans="1:9" x14ac:dyDescent="0.25">
      <c r="A168" s="19">
        <v>67</v>
      </c>
      <c r="B168" s="17" t="s">
        <v>528</v>
      </c>
      <c r="C168" s="19">
        <v>32</v>
      </c>
      <c r="D168" s="17" t="s">
        <v>59</v>
      </c>
      <c r="E168" s="17" t="s">
        <v>81</v>
      </c>
      <c r="F168" s="18">
        <v>45259</v>
      </c>
      <c r="G168" s="20">
        <v>15585</v>
      </c>
      <c r="H168" s="17" t="s">
        <v>46</v>
      </c>
      <c r="I168">
        <v>1.7</v>
      </c>
    </row>
    <row r="169" spans="1:9" x14ac:dyDescent="0.25">
      <c r="A169" s="19">
        <v>435</v>
      </c>
      <c r="B169" s="17" t="s">
        <v>531</v>
      </c>
      <c r="C169" s="19">
        <v>53</v>
      </c>
      <c r="D169" s="17" t="s">
        <v>39</v>
      </c>
      <c r="E169" s="17" t="s">
        <v>81</v>
      </c>
      <c r="F169" s="18">
        <v>44845</v>
      </c>
      <c r="G169" s="20">
        <v>18481</v>
      </c>
      <c r="H169" s="17" t="s">
        <v>26</v>
      </c>
      <c r="I169">
        <v>2.5</v>
      </c>
    </row>
    <row r="170" spans="1:9" x14ac:dyDescent="0.25">
      <c r="A170" s="19">
        <v>415</v>
      </c>
      <c r="B170" s="17" t="s">
        <v>277</v>
      </c>
      <c r="C170" s="19">
        <v>39</v>
      </c>
      <c r="D170" s="17" t="s">
        <v>59</v>
      </c>
      <c r="E170" s="17" t="s">
        <v>40</v>
      </c>
      <c r="F170" s="18">
        <v>45366</v>
      </c>
      <c r="G170" s="20">
        <v>7677</v>
      </c>
      <c r="H170" s="17" t="s">
        <v>75</v>
      </c>
      <c r="I170">
        <v>1.9</v>
      </c>
    </row>
    <row r="171" spans="1:9" x14ac:dyDescent="0.25">
      <c r="A171" s="19">
        <v>189</v>
      </c>
      <c r="B171" s="17" t="s">
        <v>360</v>
      </c>
      <c r="C171" s="19">
        <v>49</v>
      </c>
      <c r="D171" s="17" t="s">
        <v>39</v>
      </c>
      <c r="E171" s="17" t="s">
        <v>81</v>
      </c>
      <c r="F171" s="18">
        <v>45150</v>
      </c>
      <c r="G171" s="20">
        <v>19298</v>
      </c>
      <c r="H171" s="17" t="s">
        <v>75</v>
      </c>
      <c r="I171">
        <v>4.3</v>
      </c>
    </row>
    <row r="172" spans="1:9" x14ac:dyDescent="0.25">
      <c r="A172" s="19">
        <v>335</v>
      </c>
      <c r="B172" s="17" t="s">
        <v>537</v>
      </c>
      <c r="C172" s="19">
        <v>41</v>
      </c>
      <c r="D172" s="17" t="s">
        <v>59</v>
      </c>
      <c r="E172" s="17" t="s">
        <v>34</v>
      </c>
      <c r="F172" s="18">
        <v>45636</v>
      </c>
      <c r="G172" s="20">
        <v>11713</v>
      </c>
      <c r="H172" s="17" t="s">
        <v>26</v>
      </c>
      <c r="I172">
        <v>1.3</v>
      </c>
    </row>
    <row r="173" spans="1:9" x14ac:dyDescent="0.25">
      <c r="A173" s="19">
        <v>54</v>
      </c>
      <c r="B173" s="17" t="s">
        <v>540</v>
      </c>
      <c r="C173" s="19">
        <v>21</v>
      </c>
      <c r="D173" s="17" t="s">
        <v>59</v>
      </c>
      <c r="E173" s="17" t="s">
        <v>40</v>
      </c>
      <c r="F173" s="18">
        <v>45371</v>
      </c>
      <c r="G173" s="20">
        <v>13907</v>
      </c>
      <c r="H173" s="17" t="s">
        <v>26</v>
      </c>
      <c r="I173">
        <v>1.8</v>
      </c>
    </row>
    <row r="174" spans="1:9" x14ac:dyDescent="0.25">
      <c r="A174" s="19">
        <v>172</v>
      </c>
      <c r="B174" s="17" t="s">
        <v>220</v>
      </c>
      <c r="C174" s="19">
        <v>41</v>
      </c>
      <c r="D174" s="17" t="s">
        <v>59</v>
      </c>
      <c r="E174" s="17" t="s">
        <v>106</v>
      </c>
      <c r="F174" s="18">
        <v>45146</v>
      </c>
      <c r="G174" s="20">
        <v>5076</v>
      </c>
      <c r="H174" s="17" t="s">
        <v>26</v>
      </c>
      <c r="I174">
        <v>3.9</v>
      </c>
    </row>
    <row r="175" spans="1:9" x14ac:dyDescent="0.25">
      <c r="A175" s="19">
        <v>385</v>
      </c>
      <c r="B175" s="17" t="s">
        <v>47</v>
      </c>
      <c r="C175" s="19">
        <v>30</v>
      </c>
      <c r="D175" s="17" t="s">
        <v>39</v>
      </c>
      <c r="E175" s="17" t="s">
        <v>81</v>
      </c>
      <c r="F175" s="18">
        <v>45458</v>
      </c>
      <c r="G175" s="20">
        <v>8612</v>
      </c>
      <c r="H175" s="17" t="s">
        <v>26</v>
      </c>
      <c r="I175">
        <v>4.7</v>
      </c>
    </row>
    <row r="176" spans="1:9" x14ac:dyDescent="0.25">
      <c r="A176" s="19">
        <v>140</v>
      </c>
      <c r="B176" s="17" t="s">
        <v>547</v>
      </c>
      <c r="C176" s="19">
        <v>46</v>
      </c>
      <c r="D176" s="17" t="s">
        <v>59</v>
      </c>
      <c r="E176" s="17" t="s">
        <v>81</v>
      </c>
      <c r="F176" s="18">
        <v>45412</v>
      </c>
      <c r="G176" s="20">
        <v>2293</v>
      </c>
      <c r="H176" s="17" t="s">
        <v>219</v>
      </c>
      <c r="I176">
        <v>2.1</v>
      </c>
    </row>
    <row r="177" spans="1:9" x14ac:dyDescent="0.25">
      <c r="A177" s="19">
        <v>274</v>
      </c>
      <c r="B177" s="17" t="s">
        <v>277</v>
      </c>
      <c r="C177" s="19">
        <v>58</v>
      </c>
      <c r="D177" s="17" t="s">
        <v>39</v>
      </c>
      <c r="E177" s="17" t="s">
        <v>351</v>
      </c>
      <c r="F177" s="18">
        <v>45433</v>
      </c>
      <c r="G177" s="20">
        <v>15845</v>
      </c>
      <c r="H177" s="17" t="s">
        <v>26</v>
      </c>
      <c r="I177">
        <v>5</v>
      </c>
    </row>
    <row r="178" spans="1:9" x14ac:dyDescent="0.25">
      <c r="A178" s="19">
        <v>285</v>
      </c>
      <c r="B178" s="17" t="s">
        <v>337</v>
      </c>
      <c r="C178" s="19">
        <v>34</v>
      </c>
      <c r="D178" s="17" t="s">
        <v>59</v>
      </c>
      <c r="E178" s="17" t="s">
        <v>351</v>
      </c>
      <c r="F178" s="18">
        <v>44703</v>
      </c>
      <c r="G178" s="20">
        <v>5970</v>
      </c>
      <c r="H178" s="17" t="s">
        <v>75</v>
      </c>
      <c r="I178">
        <v>2.9</v>
      </c>
    </row>
    <row r="179" spans="1:9" x14ac:dyDescent="0.25">
      <c r="A179" s="19">
        <v>439</v>
      </c>
      <c r="B179" s="17" t="s">
        <v>555</v>
      </c>
      <c r="C179" s="19">
        <v>36</v>
      </c>
      <c r="D179" s="17" t="s">
        <v>39</v>
      </c>
      <c r="E179" s="17" t="s">
        <v>106</v>
      </c>
      <c r="F179" s="18">
        <v>45519</v>
      </c>
      <c r="G179" s="20">
        <v>2070</v>
      </c>
      <c r="H179" s="17" t="s">
        <v>219</v>
      </c>
      <c r="I179">
        <v>1.7</v>
      </c>
    </row>
    <row r="180" spans="1:9" x14ac:dyDescent="0.25">
      <c r="A180" s="19">
        <v>295</v>
      </c>
      <c r="B180" s="17" t="s">
        <v>27</v>
      </c>
      <c r="C180" s="19">
        <v>44</v>
      </c>
      <c r="D180" s="17" t="s">
        <v>39</v>
      </c>
      <c r="E180" s="17" t="s">
        <v>351</v>
      </c>
      <c r="F180" s="18">
        <v>45127</v>
      </c>
      <c r="G180" s="20">
        <v>5850</v>
      </c>
      <c r="H180" s="17" t="s">
        <v>26</v>
      </c>
      <c r="I180">
        <v>1.7</v>
      </c>
    </row>
    <row r="181" spans="1:9" x14ac:dyDescent="0.25">
      <c r="A181" s="19">
        <v>233</v>
      </c>
      <c r="B181" s="17" t="s">
        <v>560</v>
      </c>
      <c r="C181" s="19">
        <v>42</v>
      </c>
      <c r="D181" s="17" t="s">
        <v>59</v>
      </c>
      <c r="E181" s="17" t="s">
        <v>40</v>
      </c>
      <c r="F181" s="18">
        <v>45500</v>
      </c>
      <c r="G181" s="20">
        <v>11737</v>
      </c>
      <c r="H181" s="17" t="s">
        <v>219</v>
      </c>
      <c r="I181">
        <v>1.5</v>
      </c>
    </row>
    <row r="182" spans="1:9" x14ac:dyDescent="0.25">
      <c r="A182" s="19">
        <v>100</v>
      </c>
      <c r="B182" s="17" t="s">
        <v>563</v>
      </c>
      <c r="C182" s="19">
        <v>24</v>
      </c>
      <c r="D182" s="17" t="s">
        <v>59</v>
      </c>
      <c r="E182" s="17" t="s">
        <v>34</v>
      </c>
      <c r="F182" s="18">
        <v>45248</v>
      </c>
      <c r="G182" s="20">
        <v>19970</v>
      </c>
      <c r="H182" s="17" t="s">
        <v>219</v>
      </c>
      <c r="I182">
        <v>1.8</v>
      </c>
    </row>
    <row r="183" spans="1:9" x14ac:dyDescent="0.25">
      <c r="A183" s="19">
        <v>284</v>
      </c>
      <c r="B183" s="17" t="s">
        <v>185</v>
      </c>
      <c r="C183" s="19">
        <v>20</v>
      </c>
      <c r="D183" s="17" t="s">
        <v>39</v>
      </c>
      <c r="E183" s="17" t="s">
        <v>106</v>
      </c>
      <c r="F183" s="18">
        <v>45371</v>
      </c>
      <c r="G183" s="20">
        <v>19281</v>
      </c>
      <c r="H183" s="17" t="s">
        <v>67</v>
      </c>
      <c r="I183">
        <v>4.8</v>
      </c>
    </row>
    <row r="184" spans="1:9" x14ac:dyDescent="0.25">
      <c r="A184" s="19">
        <v>149</v>
      </c>
      <c r="B184" s="17" t="s">
        <v>233</v>
      </c>
      <c r="C184" s="19">
        <v>23</v>
      </c>
      <c r="D184" s="17" t="s">
        <v>59</v>
      </c>
      <c r="E184" s="17" t="s">
        <v>351</v>
      </c>
      <c r="F184" s="18">
        <v>44925</v>
      </c>
      <c r="G184" s="20">
        <v>10444</v>
      </c>
      <c r="H184" s="17" t="s">
        <v>26</v>
      </c>
      <c r="I184">
        <v>3.4</v>
      </c>
    </row>
    <row r="185" spans="1:9" x14ac:dyDescent="0.25">
      <c r="A185" s="19">
        <v>164</v>
      </c>
      <c r="B185" s="17" t="s">
        <v>573</v>
      </c>
      <c r="C185" s="19">
        <v>56</v>
      </c>
      <c r="D185" s="17" t="s">
        <v>39</v>
      </c>
      <c r="E185" s="17" t="s">
        <v>34</v>
      </c>
      <c r="F185" s="18">
        <v>45652</v>
      </c>
      <c r="G185" s="20">
        <v>4909</v>
      </c>
      <c r="H185" s="17" t="s">
        <v>112</v>
      </c>
      <c r="I185">
        <v>2.2000000000000002</v>
      </c>
    </row>
    <row r="186" spans="1:9" x14ac:dyDescent="0.25">
      <c r="A186" s="19">
        <v>290</v>
      </c>
      <c r="B186" s="17" t="s">
        <v>153</v>
      </c>
      <c r="C186" s="19">
        <v>47</v>
      </c>
      <c r="D186" s="17" t="s">
        <v>39</v>
      </c>
      <c r="E186" s="17" t="s">
        <v>106</v>
      </c>
      <c r="F186" s="18">
        <v>44876</v>
      </c>
      <c r="G186" s="20">
        <v>6982</v>
      </c>
      <c r="H186" s="17" t="s">
        <v>26</v>
      </c>
      <c r="I186">
        <v>4.8</v>
      </c>
    </row>
    <row r="187" spans="1:9" x14ac:dyDescent="0.25">
      <c r="A187" s="19">
        <v>47</v>
      </c>
      <c r="B187" s="17" t="s">
        <v>578</v>
      </c>
      <c r="C187" s="19">
        <v>24</v>
      </c>
      <c r="D187" s="17" t="s">
        <v>59</v>
      </c>
      <c r="E187" s="17" t="s">
        <v>34</v>
      </c>
      <c r="F187" s="18">
        <v>45379</v>
      </c>
      <c r="G187" s="20">
        <v>11593</v>
      </c>
      <c r="H187" s="17" t="s">
        <v>67</v>
      </c>
      <c r="I187">
        <v>5</v>
      </c>
    </row>
    <row r="188" spans="1:9" x14ac:dyDescent="0.25">
      <c r="A188" s="19">
        <v>87</v>
      </c>
      <c r="B188" s="17" t="s">
        <v>116</v>
      </c>
      <c r="C188" s="19">
        <v>25</v>
      </c>
      <c r="D188" s="17" t="s">
        <v>39</v>
      </c>
      <c r="E188" s="17" t="s">
        <v>351</v>
      </c>
      <c r="F188" s="18">
        <v>45515</v>
      </c>
      <c r="G188" s="20">
        <v>2205</v>
      </c>
      <c r="H188" s="17" t="s">
        <v>46</v>
      </c>
      <c r="I188">
        <v>2</v>
      </c>
    </row>
    <row r="189" spans="1:9" x14ac:dyDescent="0.25">
      <c r="A189" s="19">
        <v>38</v>
      </c>
      <c r="B189" s="17" t="s">
        <v>91</v>
      </c>
      <c r="C189" s="19">
        <v>35</v>
      </c>
      <c r="D189" s="17" t="s">
        <v>59</v>
      </c>
      <c r="E189" s="17" t="s">
        <v>124</v>
      </c>
      <c r="F189" s="18">
        <v>44875</v>
      </c>
      <c r="G189" s="20">
        <v>4430</v>
      </c>
      <c r="H189" s="17" t="s">
        <v>75</v>
      </c>
      <c r="I189">
        <v>3.3</v>
      </c>
    </row>
    <row r="190" spans="1:9" x14ac:dyDescent="0.25">
      <c r="A190" s="19">
        <v>423</v>
      </c>
      <c r="B190" s="17" t="s">
        <v>173</v>
      </c>
      <c r="C190" s="19">
        <v>33</v>
      </c>
      <c r="D190" s="17" t="s">
        <v>59</v>
      </c>
      <c r="E190" s="17" t="s">
        <v>106</v>
      </c>
      <c r="F190" s="18">
        <v>45340</v>
      </c>
      <c r="G190" s="20">
        <v>12054</v>
      </c>
      <c r="H190" s="17" t="s">
        <v>46</v>
      </c>
      <c r="I190">
        <v>4.8</v>
      </c>
    </row>
    <row r="191" spans="1:9" x14ac:dyDescent="0.25">
      <c r="A191" s="19">
        <v>371</v>
      </c>
      <c r="B191" s="17" t="s">
        <v>466</v>
      </c>
      <c r="C191" s="19">
        <v>23</v>
      </c>
      <c r="D191" s="17" t="s">
        <v>59</v>
      </c>
      <c r="E191" s="17" t="s">
        <v>351</v>
      </c>
      <c r="F191" s="18">
        <v>45434</v>
      </c>
      <c r="G191" s="20">
        <v>1928</v>
      </c>
      <c r="H191" s="17" t="s">
        <v>67</v>
      </c>
      <c r="I191">
        <v>4.9000000000000004</v>
      </c>
    </row>
    <row r="192" spans="1:9" x14ac:dyDescent="0.25">
      <c r="A192" s="19">
        <v>425</v>
      </c>
      <c r="B192" s="17" t="s">
        <v>589</v>
      </c>
      <c r="C192" s="19">
        <v>43</v>
      </c>
      <c r="D192" s="17" t="s">
        <v>39</v>
      </c>
      <c r="E192" s="17" t="s">
        <v>81</v>
      </c>
      <c r="F192" s="18">
        <v>45489</v>
      </c>
      <c r="G192" s="20">
        <v>6665</v>
      </c>
      <c r="H192" s="17" t="s">
        <v>26</v>
      </c>
      <c r="I192">
        <v>3.6</v>
      </c>
    </row>
    <row r="193" spans="1:9" x14ac:dyDescent="0.25">
      <c r="A193" s="19">
        <v>446</v>
      </c>
      <c r="B193" s="17" t="s">
        <v>98</v>
      </c>
      <c r="C193" s="19">
        <v>33</v>
      </c>
      <c r="D193" s="17" t="s">
        <v>39</v>
      </c>
      <c r="E193" s="17" t="s">
        <v>40</v>
      </c>
      <c r="F193" s="18">
        <v>45247</v>
      </c>
      <c r="G193" s="20">
        <v>1022</v>
      </c>
      <c r="H193" s="17" t="s">
        <v>112</v>
      </c>
      <c r="I193">
        <v>1.5</v>
      </c>
    </row>
    <row r="194" spans="1:9" x14ac:dyDescent="0.25">
      <c r="A194" s="19">
        <v>294</v>
      </c>
      <c r="B194" s="17" t="s">
        <v>594</v>
      </c>
      <c r="C194" s="19">
        <v>44</v>
      </c>
      <c r="D194" s="17" t="s">
        <v>39</v>
      </c>
      <c r="E194" s="17" t="s">
        <v>34</v>
      </c>
      <c r="F194" s="18">
        <v>45342</v>
      </c>
      <c r="G194" s="20">
        <v>8252</v>
      </c>
      <c r="H194" s="17" t="s">
        <v>46</v>
      </c>
      <c r="I194">
        <v>1.9</v>
      </c>
    </row>
    <row r="195" spans="1:9" x14ac:dyDescent="0.25">
      <c r="A195" s="19">
        <v>173</v>
      </c>
      <c r="B195" s="17" t="s">
        <v>597</v>
      </c>
      <c r="C195" s="19">
        <v>32</v>
      </c>
      <c r="D195" s="17" t="s">
        <v>59</v>
      </c>
      <c r="E195" s="17" t="s">
        <v>124</v>
      </c>
      <c r="F195" s="18">
        <v>45075</v>
      </c>
      <c r="G195" s="20">
        <v>12875</v>
      </c>
      <c r="H195" s="17" t="s">
        <v>219</v>
      </c>
      <c r="I195">
        <v>1.9</v>
      </c>
    </row>
    <row r="196" spans="1:9" x14ac:dyDescent="0.25">
      <c r="A196" s="19">
        <v>74</v>
      </c>
      <c r="B196" s="17" t="s">
        <v>98</v>
      </c>
      <c r="C196" s="19">
        <v>35</v>
      </c>
      <c r="D196" s="17" t="s">
        <v>39</v>
      </c>
      <c r="E196" s="17" t="s">
        <v>106</v>
      </c>
      <c r="F196" s="18">
        <v>44979</v>
      </c>
      <c r="G196" s="20">
        <v>10250</v>
      </c>
      <c r="H196" s="17" t="s">
        <v>75</v>
      </c>
      <c r="I196">
        <v>1.1000000000000001</v>
      </c>
    </row>
    <row r="197" spans="1:9" x14ac:dyDescent="0.25">
      <c r="A197" s="19">
        <v>281</v>
      </c>
      <c r="B197" s="17" t="s">
        <v>295</v>
      </c>
      <c r="C197" s="19">
        <v>37</v>
      </c>
      <c r="D197" s="17" t="s">
        <v>39</v>
      </c>
      <c r="E197" s="17" t="s">
        <v>351</v>
      </c>
      <c r="F197" s="18">
        <v>44925</v>
      </c>
      <c r="G197" s="20">
        <v>5222</v>
      </c>
      <c r="H197" s="17" t="s">
        <v>75</v>
      </c>
      <c r="I197">
        <v>1.4</v>
      </c>
    </row>
    <row r="198" spans="1:9" x14ac:dyDescent="0.25">
      <c r="A198" s="19">
        <v>105</v>
      </c>
      <c r="B198" s="17" t="s">
        <v>604</v>
      </c>
      <c r="C198" s="19">
        <v>50</v>
      </c>
      <c r="D198" s="17" t="s">
        <v>39</v>
      </c>
      <c r="E198" s="17" t="s">
        <v>106</v>
      </c>
      <c r="F198" s="18">
        <v>44998</v>
      </c>
      <c r="G198" s="20">
        <v>19187</v>
      </c>
      <c r="H198" s="17" t="s">
        <v>67</v>
      </c>
      <c r="I198">
        <v>4.5999999999999996</v>
      </c>
    </row>
    <row r="199" spans="1:9" x14ac:dyDescent="0.25">
      <c r="A199" s="19">
        <v>358</v>
      </c>
      <c r="B199" s="17" t="s">
        <v>185</v>
      </c>
      <c r="C199" s="19">
        <v>29</v>
      </c>
      <c r="D199" s="17" t="s">
        <v>39</v>
      </c>
      <c r="E199" s="17" t="s">
        <v>351</v>
      </c>
      <c r="F199" s="18">
        <v>44781</v>
      </c>
      <c r="G199" s="20">
        <v>15485</v>
      </c>
      <c r="H199" s="17" t="s">
        <v>26</v>
      </c>
      <c r="I199">
        <v>4.5</v>
      </c>
    </row>
    <row r="200" spans="1:9" x14ac:dyDescent="0.25">
      <c r="A200" s="19">
        <v>254</v>
      </c>
      <c r="B200" s="17" t="s">
        <v>157</v>
      </c>
      <c r="C200" s="19">
        <v>37</v>
      </c>
      <c r="D200" s="17" t="s">
        <v>39</v>
      </c>
      <c r="E200" s="17" t="s">
        <v>124</v>
      </c>
      <c r="F200" s="18">
        <v>45275</v>
      </c>
      <c r="G200" s="20">
        <v>14224</v>
      </c>
      <c r="H200" s="17" t="s">
        <v>219</v>
      </c>
      <c r="I200">
        <v>5</v>
      </c>
    </row>
    <row r="201" spans="1:9" x14ac:dyDescent="0.25">
      <c r="A201" s="19">
        <v>17</v>
      </c>
      <c r="B201" s="17" t="s">
        <v>611</v>
      </c>
      <c r="C201" s="19">
        <v>19</v>
      </c>
      <c r="D201" s="17" t="s">
        <v>39</v>
      </c>
      <c r="E201" s="17" t="s">
        <v>124</v>
      </c>
      <c r="F201" s="18">
        <v>44948</v>
      </c>
      <c r="G201" s="20">
        <v>14023</v>
      </c>
      <c r="H201" s="17" t="s">
        <v>67</v>
      </c>
      <c r="I201">
        <v>2.6</v>
      </c>
    </row>
    <row r="202" spans="1:9" x14ac:dyDescent="0.25">
      <c r="A202" s="19">
        <v>447</v>
      </c>
      <c r="B202" s="17" t="s">
        <v>185</v>
      </c>
      <c r="C202" s="19">
        <v>19</v>
      </c>
      <c r="D202" s="17" t="s">
        <v>39</v>
      </c>
      <c r="E202" s="17" t="s">
        <v>351</v>
      </c>
      <c r="F202" s="18">
        <v>45016</v>
      </c>
      <c r="G202" s="20">
        <v>519</v>
      </c>
      <c r="H202" s="17" t="s">
        <v>112</v>
      </c>
      <c r="I202">
        <v>1.1000000000000001</v>
      </c>
    </row>
    <row r="203" spans="1:9" x14ac:dyDescent="0.25">
      <c r="A203" s="19">
        <v>92</v>
      </c>
      <c r="B203" s="17" t="s">
        <v>102</v>
      </c>
      <c r="C203" s="19">
        <v>41</v>
      </c>
      <c r="D203" s="17" t="s">
        <v>59</v>
      </c>
      <c r="E203" s="17" t="s">
        <v>106</v>
      </c>
      <c r="F203" s="18">
        <v>45258</v>
      </c>
      <c r="G203" s="20">
        <v>11103</v>
      </c>
      <c r="H203" s="17" t="s">
        <v>112</v>
      </c>
      <c r="I203">
        <v>4.3</v>
      </c>
    </row>
    <row r="204" spans="1:9" x14ac:dyDescent="0.25">
      <c r="A204" s="19">
        <v>89</v>
      </c>
      <c r="B204" s="17" t="s">
        <v>618</v>
      </c>
      <c r="C204" s="19">
        <v>28</v>
      </c>
      <c r="D204" s="17" t="s">
        <v>59</v>
      </c>
      <c r="E204" s="17" t="s">
        <v>351</v>
      </c>
      <c r="F204" s="18">
        <v>45060</v>
      </c>
      <c r="G204" s="20">
        <v>13072</v>
      </c>
      <c r="H204" s="17" t="s">
        <v>67</v>
      </c>
      <c r="I204">
        <v>2</v>
      </c>
    </row>
    <row r="205" spans="1:9" x14ac:dyDescent="0.25">
      <c r="A205" s="19">
        <v>387</v>
      </c>
      <c r="B205" s="17" t="s">
        <v>170</v>
      </c>
      <c r="C205" s="19">
        <v>47</v>
      </c>
      <c r="D205" s="17" t="s">
        <v>39</v>
      </c>
      <c r="E205" s="17" t="s">
        <v>124</v>
      </c>
      <c r="F205" s="18">
        <v>44706</v>
      </c>
      <c r="G205" s="20">
        <v>10668</v>
      </c>
      <c r="H205" s="17" t="s">
        <v>26</v>
      </c>
      <c r="I205">
        <v>1.3</v>
      </c>
    </row>
    <row r="206" spans="1:9" x14ac:dyDescent="0.25">
      <c r="A206" s="19">
        <v>141</v>
      </c>
      <c r="B206" s="17" t="s">
        <v>623</v>
      </c>
      <c r="C206" s="19">
        <v>53</v>
      </c>
      <c r="D206" s="17" t="s">
        <v>39</v>
      </c>
      <c r="E206" s="17" t="s">
        <v>81</v>
      </c>
      <c r="F206" s="18">
        <v>44867</v>
      </c>
      <c r="G206" s="20">
        <v>8515</v>
      </c>
      <c r="H206" s="17" t="s">
        <v>26</v>
      </c>
      <c r="I206">
        <v>3.2</v>
      </c>
    </row>
    <row r="207" spans="1:9" x14ac:dyDescent="0.25">
      <c r="A207" s="19">
        <v>195</v>
      </c>
      <c r="B207" s="17" t="s">
        <v>310</v>
      </c>
      <c r="C207" s="19">
        <v>49</v>
      </c>
      <c r="D207" s="17" t="s">
        <v>59</v>
      </c>
      <c r="E207" s="17" t="s">
        <v>81</v>
      </c>
      <c r="F207" s="18">
        <v>45376</v>
      </c>
      <c r="G207" s="20">
        <v>12273</v>
      </c>
      <c r="H207" s="17" t="s">
        <v>67</v>
      </c>
      <c r="I207">
        <v>1.4</v>
      </c>
    </row>
    <row r="208" spans="1:9" x14ac:dyDescent="0.25">
      <c r="A208" s="19">
        <v>206</v>
      </c>
      <c r="B208" s="17" t="s">
        <v>385</v>
      </c>
      <c r="C208" s="19">
        <v>39</v>
      </c>
      <c r="D208" s="17" t="s">
        <v>39</v>
      </c>
      <c r="E208" s="17" t="s">
        <v>40</v>
      </c>
      <c r="F208" s="18">
        <v>45531</v>
      </c>
      <c r="G208" s="20">
        <v>9650</v>
      </c>
      <c r="H208" s="17" t="s">
        <v>67</v>
      </c>
      <c r="I208">
        <v>3.8</v>
      </c>
    </row>
    <row r="209" spans="1:9" x14ac:dyDescent="0.25">
      <c r="A209" s="19">
        <v>103</v>
      </c>
      <c r="B209" s="17" t="s">
        <v>43</v>
      </c>
      <c r="C209" s="19">
        <v>29</v>
      </c>
      <c r="D209" s="17" t="s">
        <v>59</v>
      </c>
      <c r="E209" s="17" t="s">
        <v>124</v>
      </c>
      <c r="F209" s="18">
        <v>45341</v>
      </c>
      <c r="G209" s="20">
        <v>8153</v>
      </c>
      <c r="H209" s="17" t="s">
        <v>67</v>
      </c>
      <c r="I209">
        <v>3.3</v>
      </c>
    </row>
    <row r="210" spans="1:9" x14ac:dyDescent="0.25">
      <c r="A210" s="19">
        <v>265</v>
      </c>
      <c r="B210" s="17" t="s">
        <v>366</v>
      </c>
      <c r="C210" s="19">
        <v>42</v>
      </c>
      <c r="D210" s="17" t="s">
        <v>59</v>
      </c>
      <c r="E210" s="17" t="s">
        <v>351</v>
      </c>
      <c r="F210" s="18">
        <v>45255</v>
      </c>
      <c r="G210" s="20">
        <v>17760</v>
      </c>
      <c r="H210" s="17" t="s">
        <v>112</v>
      </c>
      <c r="I210">
        <v>4</v>
      </c>
    </row>
    <row r="211" spans="1:9" x14ac:dyDescent="0.25">
      <c r="A211" s="19">
        <v>175</v>
      </c>
      <c r="B211" s="17" t="s">
        <v>354</v>
      </c>
      <c r="C211" s="19">
        <v>49</v>
      </c>
      <c r="D211" s="17" t="s">
        <v>39</v>
      </c>
      <c r="E211" s="17" t="s">
        <v>34</v>
      </c>
      <c r="F211" s="18">
        <v>45024</v>
      </c>
      <c r="G211" s="20">
        <v>3519</v>
      </c>
      <c r="H211" s="17" t="s">
        <v>46</v>
      </c>
      <c r="I211">
        <v>2</v>
      </c>
    </row>
    <row r="212" spans="1:9" x14ac:dyDescent="0.25">
      <c r="A212" s="19">
        <v>171</v>
      </c>
      <c r="B212" s="17" t="s">
        <v>636</v>
      </c>
      <c r="C212" s="19">
        <v>41</v>
      </c>
      <c r="D212" s="17" t="s">
        <v>59</v>
      </c>
      <c r="E212" s="17" t="s">
        <v>81</v>
      </c>
      <c r="F212" s="18">
        <v>44942</v>
      </c>
      <c r="G212" s="20">
        <v>4644</v>
      </c>
      <c r="H212" s="17" t="s">
        <v>219</v>
      </c>
      <c r="I212">
        <v>3</v>
      </c>
    </row>
    <row r="213" spans="1:9" x14ac:dyDescent="0.25">
      <c r="A213" s="19">
        <v>389</v>
      </c>
      <c r="B213" s="17" t="s">
        <v>324</v>
      </c>
      <c r="C213" s="19">
        <v>34</v>
      </c>
      <c r="D213" s="17" t="s">
        <v>39</v>
      </c>
      <c r="E213" s="17" t="s">
        <v>106</v>
      </c>
      <c r="F213" s="18">
        <v>45548</v>
      </c>
      <c r="G213" s="20">
        <v>19308</v>
      </c>
      <c r="H213" s="17" t="s">
        <v>67</v>
      </c>
      <c r="I213">
        <v>3.8</v>
      </c>
    </row>
    <row r="214" spans="1:9" x14ac:dyDescent="0.25">
      <c r="A214" s="19">
        <v>158</v>
      </c>
      <c r="B214" s="17" t="s">
        <v>98</v>
      </c>
      <c r="C214" s="19">
        <v>50</v>
      </c>
      <c r="D214" s="17" t="s">
        <v>39</v>
      </c>
      <c r="E214" s="17" t="s">
        <v>81</v>
      </c>
      <c r="F214" s="18">
        <v>45193</v>
      </c>
      <c r="G214" s="20">
        <v>9960</v>
      </c>
      <c r="H214" s="17" t="s">
        <v>46</v>
      </c>
      <c r="I214">
        <v>1.7</v>
      </c>
    </row>
    <row r="215" spans="1:9" x14ac:dyDescent="0.25">
      <c r="A215" s="19">
        <v>71</v>
      </c>
      <c r="B215" s="17" t="s">
        <v>9</v>
      </c>
      <c r="C215" s="19">
        <v>57</v>
      </c>
      <c r="D215" s="17" t="s">
        <v>59</v>
      </c>
      <c r="E215" s="17" t="s">
        <v>40</v>
      </c>
      <c r="F215" s="18">
        <v>45165</v>
      </c>
      <c r="G215" s="20">
        <v>3809</v>
      </c>
      <c r="H215" s="17" t="s">
        <v>112</v>
      </c>
      <c r="I215">
        <v>2.1</v>
      </c>
    </row>
    <row r="216" spans="1:9" x14ac:dyDescent="0.25">
      <c r="A216" s="19">
        <v>134</v>
      </c>
      <c r="B216" s="17" t="s">
        <v>644</v>
      </c>
      <c r="C216" s="19">
        <v>21</v>
      </c>
      <c r="D216" s="17" t="s">
        <v>39</v>
      </c>
      <c r="E216" s="17" t="s">
        <v>34</v>
      </c>
      <c r="F216" s="18">
        <v>44778</v>
      </c>
      <c r="G216" s="20">
        <v>18322</v>
      </c>
      <c r="H216" s="17" t="s">
        <v>26</v>
      </c>
      <c r="I216">
        <v>1.7</v>
      </c>
    </row>
    <row r="217" spans="1:9" x14ac:dyDescent="0.25">
      <c r="A217" s="19">
        <v>455</v>
      </c>
      <c r="B217" s="17" t="s">
        <v>113</v>
      </c>
      <c r="C217" s="19">
        <v>50</v>
      </c>
      <c r="D217" s="17" t="s">
        <v>59</v>
      </c>
      <c r="E217" s="17" t="s">
        <v>106</v>
      </c>
      <c r="F217" s="18">
        <v>44843</v>
      </c>
      <c r="G217" s="20">
        <v>2343</v>
      </c>
      <c r="H217" s="17" t="s">
        <v>219</v>
      </c>
      <c r="I217">
        <v>2.7</v>
      </c>
    </row>
    <row r="218" spans="1:9" x14ac:dyDescent="0.25">
      <c r="A218" s="19">
        <v>379</v>
      </c>
      <c r="B218" s="17" t="s">
        <v>9</v>
      </c>
      <c r="C218" s="19">
        <v>23</v>
      </c>
      <c r="D218" s="17" t="s">
        <v>39</v>
      </c>
      <c r="E218" s="17" t="s">
        <v>351</v>
      </c>
      <c r="F218" s="18">
        <v>45575</v>
      </c>
      <c r="G218" s="20">
        <v>9965</v>
      </c>
      <c r="H218" s="17" t="s">
        <v>219</v>
      </c>
      <c r="I218">
        <v>3.2</v>
      </c>
    </row>
    <row r="219" spans="1:9" x14ac:dyDescent="0.25">
      <c r="A219" s="19">
        <v>363</v>
      </c>
      <c r="B219" s="17" t="s">
        <v>116</v>
      </c>
      <c r="C219" s="19">
        <v>19</v>
      </c>
      <c r="D219" s="17" t="s">
        <v>59</v>
      </c>
      <c r="E219" s="17" t="s">
        <v>351</v>
      </c>
      <c r="F219" s="18">
        <v>44811</v>
      </c>
      <c r="G219" s="20">
        <v>12919</v>
      </c>
      <c r="H219" s="17" t="s">
        <v>26</v>
      </c>
      <c r="I219">
        <v>4</v>
      </c>
    </row>
    <row r="220" spans="1:9" x14ac:dyDescent="0.25">
      <c r="A220" s="19">
        <v>246</v>
      </c>
      <c r="B220" s="17" t="s">
        <v>182</v>
      </c>
      <c r="C220" s="19">
        <v>54</v>
      </c>
      <c r="D220" s="17" t="s">
        <v>39</v>
      </c>
      <c r="E220" s="17" t="s">
        <v>124</v>
      </c>
      <c r="F220" s="18">
        <v>44767</v>
      </c>
      <c r="G220" s="20">
        <v>4000</v>
      </c>
      <c r="H220" s="17" t="s">
        <v>67</v>
      </c>
      <c r="I220">
        <v>1.9</v>
      </c>
    </row>
    <row r="221" spans="1:9" x14ac:dyDescent="0.25">
      <c r="A221" s="19">
        <v>470</v>
      </c>
      <c r="B221" s="17" t="s">
        <v>656</v>
      </c>
      <c r="C221" s="19">
        <v>40</v>
      </c>
      <c r="D221" s="17" t="s">
        <v>39</v>
      </c>
      <c r="E221" s="17" t="s">
        <v>124</v>
      </c>
      <c r="F221" s="18">
        <v>44999</v>
      </c>
      <c r="G221" s="20">
        <v>15870</v>
      </c>
      <c r="H221" s="17" t="s">
        <v>46</v>
      </c>
      <c r="I221">
        <v>3.8</v>
      </c>
    </row>
    <row r="222" spans="1:9" x14ac:dyDescent="0.25">
      <c r="A222" s="19">
        <v>432</v>
      </c>
      <c r="B222" s="17" t="s">
        <v>659</v>
      </c>
      <c r="C222" s="19">
        <v>40</v>
      </c>
      <c r="D222" s="17" t="s">
        <v>59</v>
      </c>
      <c r="E222" s="17" t="s">
        <v>106</v>
      </c>
      <c r="F222" s="18">
        <v>45773</v>
      </c>
      <c r="G222" s="20">
        <v>1348</v>
      </c>
      <c r="H222" s="17" t="s">
        <v>219</v>
      </c>
      <c r="I222">
        <v>1.9</v>
      </c>
    </row>
    <row r="223" spans="1:9" x14ac:dyDescent="0.25">
      <c r="A223" s="19">
        <v>353</v>
      </c>
      <c r="B223" s="17" t="s">
        <v>192</v>
      </c>
      <c r="C223" s="19">
        <v>37</v>
      </c>
      <c r="D223" s="17" t="s">
        <v>59</v>
      </c>
      <c r="E223" s="17" t="s">
        <v>34</v>
      </c>
      <c r="F223" s="18">
        <v>44806</v>
      </c>
      <c r="G223" s="20">
        <v>13334</v>
      </c>
      <c r="H223" s="17" t="s">
        <v>75</v>
      </c>
      <c r="I223">
        <v>3.7</v>
      </c>
    </row>
    <row r="224" spans="1:9" x14ac:dyDescent="0.25">
      <c r="A224" s="19">
        <v>245</v>
      </c>
      <c r="B224" s="17" t="s">
        <v>80</v>
      </c>
      <c r="C224" s="19">
        <v>22</v>
      </c>
      <c r="D224" s="17" t="s">
        <v>59</v>
      </c>
      <c r="E224" s="17" t="s">
        <v>124</v>
      </c>
      <c r="F224" s="18">
        <v>45777</v>
      </c>
      <c r="G224" s="20">
        <v>4877</v>
      </c>
      <c r="H224" s="17" t="s">
        <v>46</v>
      </c>
      <c r="I224">
        <v>3.5</v>
      </c>
    </row>
    <row r="225" spans="1:9" x14ac:dyDescent="0.25">
      <c r="A225" s="19">
        <v>19</v>
      </c>
      <c r="B225" s="17" t="s">
        <v>216</v>
      </c>
      <c r="C225" s="19">
        <v>47</v>
      </c>
      <c r="D225" s="17" t="s">
        <v>39</v>
      </c>
      <c r="E225" s="17" t="s">
        <v>81</v>
      </c>
      <c r="F225" s="18">
        <v>45158</v>
      </c>
      <c r="G225" s="20">
        <v>7500</v>
      </c>
      <c r="H225" s="17" t="s">
        <v>46</v>
      </c>
      <c r="I225">
        <v>2.2999999999999998</v>
      </c>
    </row>
    <row r="226" spans="1:9" x14ac:dyDescent="0.25">
      <c r="A226" s="19">
        <v>178</v>
      </c>
      <c r="B226" s="17" t="s">
        <v>15</v>
      </c>
      <c r="C226" s="19">
        <v>29</v>
      </c>
      <c r="D226" s="17" t="s">
        <v>39</v>
      </c>
      <c r="E226" s="17" t="s">
        <v>34</v>
      </c>
      <c r="F226" s="18">
        <v>44770</v>
      </c>
      <c r="G226" s="20">
        <v>14589</v>
      </c>
      <c r="H226" s="17" t="s">
        <v>67</v>
      </c>
      <c r="I226">
        <v>3</v>
      </c>
    </row>
    <row r="227" spans="1:9" x14ac:dyDescent="0.25">
      <c r="A227" s="19">
        <v>410</v>
      </c>
      <c r="B227" s="17" t="s">
        <v>669</v>
      </c>
      <c r="C227" s="19">
        <v>20</v>
      </c>
      <c r="D227" s="17" t="s">
        <v>59</v>
      </c>
      <c r="E227" s="17" t="s">
        <v>124</v>
      </c>
      <c r="F227" s="18">
        <v>45650</v>
      </c>
      <c r="G227" s="20">
        <v>8107</v>
      </c>
      <c r="H227" s="17" t="s">
        <v>219</v>
      </c>
      <c r="I227">
        <v>2.7</v>
      </c>
    </row>
    <row r="228" spans="1:9" x14ac:dyDescent="0.25">
      <c r="A228" s="19">
        <v>21</v>
      </c>
      <c r="B228" s="17" t="s">
        <v>220</v>
      </c>
      <c r="C228" s="19">
        <v>19</v>
      </c>
      <c r="D228" s="17" t="s">
        <v>39</v>
      </c>
      <c r="E228" s="17" t="s">
        <v>124</v>
      </c>
      <c r="F228" s="18">
        <v>45332</v>
      </c>
      <c r="G228" s="20">
        <v>4460</v>
      </c>
      <c r="H228" s="17" t="s">
        <v>75</v>
      </c>
      <c r="I228">
        <v>1</v>
      </c>
    </row>
    <row r="229" spans="1:9" x14ac:dyDescent="0.25">
      <c r="A229" s="19">
        <v>56</v>
      </c>
      <c r="B229" s="17" t="s">
        <v>27</v>
      </c>
      <c r="C229" s="19">
        <v>23</v>
      </c>
      <c r="D229" s="17" t="s">
        <v>39</v>
      </c>
      <c r="E229" s="17" t="s">
        <v>40</v>
      </c>
      <c r="F229" s="18">
        <v>45145</v>
      </c>
      <c r="G229" s="20">
        <v>17849</v>
      </c>
      <c r="H229" s="17" t="s">
        <v>46</v>
      </c>
      <c r="I229">
        <v>1.1000000000000001</v>
      </c>
    </row>
    <row r="230" spans="1:9" x14ac:dyDescent="0.25">
      <c r="A230" s="19">
        <v>320</v>
      </c>
      <c r="B230" s="17" t="s">
        <v>43</v>
      </c>
      <c r="C230" s="19">
        <v>49</v>
      </c>
      <c r="D230" s="17" t="s">
        <v>39</v>
      </c>
      <c r="E230" s="17" t="s">
        <v>34</v>
      </c>
      <c r="F230" s="18">
        <v>45088</v>
      </c>
      <c r="G230" s="20">
        <v>16013</v>
      </c>
      <c r="H230" s="17" t="s">
        <v>67</v>
      </c>
      <c r="I230">
        <v>4.5999999999999996</v>
      </c>
    </row>
    <row r="231" spans="1:9" x14ac:dyDescent="0.25">
      <c r="A231" s="19">
        <v>462</v>
      </c>
      <c r="B231" s="17" t="s">
        <v>233</v>
      </c>
      <c r="C231" s="19">
        <v>57</v>
      </c>
      <c r="D231" s="17" t="s">
        <v>39</v>
      </c>
      <c r="E231" s="17" t="s">
        <v>351</v>
      </c>
      <c r="F231" s="18">
        <v>44794</v>
      </c>
      <c r="G231" s="20">
        <v>6471</v>
      </c>
      <c r="H231" s="17" t="s">
        <v>67</v>
      </c>
      <c r="I231">
        <v>2.2000000000000002</v>
      </c>
    </row>
    <row r="232" spans="1:9" x14ac:dyDescent="0.25">
      <c r="A232" s="19">
        <v>368</v>
      </c>
      <c r="B232" s="17" t="s">
        <v>43</v>
      </c>
      <c r="C232" s="19">
        <v>39</v>
      </c>
      <c r="D232" s="17" t="s">
        <v>59</v>
      </c>
      <c r="E232" s="17" t="s">
        <v>106</v>
      </c>
      <c r="F232" s="18">
        <v>44730</v>
      </c>
      <c r="G232" s="20">
        <v>13041</v>
      </c>
      <c r="H232" s="17" t="s">
        <v>26</v>
      </c>
      <c r="I232">
        <v>3</v>
      </c>
    </row>
    <row r="233" spans="1:9" x14ac:dyDescent="0.25">
      <c r="A233" s="19">
        <v>35</v>
      </c>
      <c r="B233" s="17" t="s">
        <v>659</v>
      </c>
      <c r="C233" s="19">
        <v>38</v>
      </c>
      <c r="D233" s="17" t="s">
        <v>39</v>
      </c>
      <c r="E233" s="17" t="s">
        <v>34</v>
      </c>
      <c r="F233" s="18">
        <v>45511</v>
      </c>
      <c r="G233" s="20">
        <v>9448</v>
      </c>
      <c r="H233" s="17" t="s">
        <v>26</v>
      </c>
      <c r="I233">
        <v>2.7</v>
      </c>
    </row>
    <row r="234" spans="1:9" x14ac:dyDescent="0.25">
      <c r="A234" s="19">
        <v>182</v>
      </c>
      <c r="B234" s="17" t="s">
        <v>277</v>
      </c>
      <c r="C234" s="19">
        <v>54</v>
      </c>
      <c r="D234" s="17" t="s">
        <v>59</v>
      </c>
      <c r="E234" s="17" t="s">
        <v>124</v>
      </c>
      <c r="F234" s="18">
        <v>45127</v>
      </c>
      <c r="G234" s="20">
        <v>4463</v>
      </c>
      <c r="H234" s="17" t="s">
        <v>46</v>
      </c>
      <c r="I234">
        <v>1.4</v>
      </c>
    </row>
    <row r="235" spans="1:9" x14ac:dyDescent="0.25">
      <c r="A235" s="19">
        <v>151</v>
      </c>
      <c r="B235" s="17" t="s">
        <v>366</v>
      </c>
      <c r="C235" s="19">
        <v>45</v>
      </c>
      <c r="D235" s="17" t="s">
        <v>39</v>
      </c>
      <c r="E235" s="17" t="s">
        <v>124</v>
      </c>
      <c r="F235" s="18">
        <v>45217</v>
      </c>
      <c r="G235" s="20">
        <v>8802</v>
      </c>
      <c r="H235" s="17" t="s">
        <v>26</v>
      </c>
      <c r="I235">
        <v>3.7</v>
      </c>
    </row>
    <row r="236" spans="1:9" x14ac:dyDescent="0.25">
      <c r="A236" s="19">
        <v>208</v>
      </c>
      <c r="B236" s="17" t="s">
        <v>286</v>
      </c>
      <c r="C236" s="19">
        <v>33</v>
      </c>
      <c r="D236" s="17" t="s">
        <v>39</v>
      </c>
      <c r="E236" s="17" t="s">
        <v>124</v>
      </c>
      <c r="F236" s="18">
        <v>44849</v>
      </c>
      <c r="G236" s="20">
        <v>4954</v>
      </c>
      <c r="H236" s="17" t="s">
        <v>75</v>
      </c>
      <c r="I236">
        <v>2</v>
      </c>
    </row>
    <row r="237" spans="1:9" x14ac:dyDescent="0.25">
      <c r="A237" s="19">
        <v>352</v>
      </c>
      <c r="B237" s="17" t="s">
        <v>426</v>
      </c>
      <c r="C237" s="19">
        <v>53</v>
      </c>
      <c r="D237" s="17" t="s">
        <v>39</v>
      </c>
      <c r="E237" s="17" t="s">
        <v>81</v>
      </c>
      <c r="F237" s="18">
        <v>44936</v>
      </c>
      <c r="G237" s="20">
        <v>14409</v>
      </c>
      <c r="H237" s="17" t="s">
        <v>26</v>
      </c>
      <c r="I237">
        <v>3.8</v>
      </c>
    </row>
    <row r="238" spans="1:9" x14ac:dyDescent="0.25">
      <c r="A238" s="19">
        <v>377</v>
      </c>
      <c r="B238" s="17" t="s">
        <v>102</v>
      </c>
      <c r="C238" s="19">
        <v>56</v>
      </c>
      <c r="D238" s="17" t="s">
        <v>59</v>
      </c>
      <c r="E238" s="17" t="s">
        <v>124</v>
      </c>
      <c r="F238" s="18">
        <v>45144</v>
      </c>
      <c r="G238" s="20">
        <v>109</v>
      </c>
      <c r="H238" s="17" t="s">
        <v>75</v>
      </c>
      <c r="I238">
        <v>1.4</v>
      </c>
    </row>
    <row r="239" spans="1:9" x14ac:dyDescent="0.25">
      <c r="A239" s="19">
        <v>303</v>
      </c>
      <c r="B239" s="17" t="s">
        <v>196</v>
      </c>
      <c r="C239" s="19">
        <v>36</v>
      </c>
      <c r="D239" s="17" t="s">
        <v>39</v>
      </c>
      <c r="E239" s="17" t="s">
        <v>34</v>
      </c>
      <c r="F239" s="18">
        <v>45228</v>
      </c>
      <c r="G239" s="20">
        <v>15247</v>
      </c>
      <c r="H239" s="17" t="s">
        <v>67</v>
      </c>
      <c r="I239">
        <v>4.7</v>
      </c>
    </row>
    <row r="240" spans="1:9" x14ac:dyDescent="0.25">
      <c r="A240" s="19">
        <v>236</v>
      </c>
      <c r="B240" s="17" t="s">
        <v>185</v>
      </c>
      <c r="C240" s="19">
        <v>47</v>
      </c>
      <c r="D240" s="17" t="s">
        <v>39</v>
      </c>
      <c r="E240" s="17" t="s">
        <v>106</v>
      </c>
      <c r="F240" s="18">
        <v>44840</v>
      </c>
      <c r="G240" s="20">
        <v>8572</v>
      </c>
      <c r="H240" s="17" t="s">
        <v>219</v>
      </c>
      <c r="I240">
        <v>2.4</v>
      </c>
    </row>
    <row r="241" spans="1:9" x14ac:dyDescent="0.25">
      <c r="A241" s="19">
        <v>405</v>
      </c>
      <c r="B241" s="17" t="s">
        <v>289</v>
      </c>
      <c r="C241" s="19">
        <v>33</v>
      </c>
      <c r="D241" s="17" t="s">
        <v>39</v>
      </c>
      <c r="E241" s="17" t="s">
        <v>34</v>
      </c>
      <c r="F241" s="18">
        <v>44805</v>
      </c>
      <c r="G241" s="20">
        <v>19044</v>
      </c>
      <c r="H241" s="17" t="s">
        <v>219</v>
      </c>
      <c r="I241">
        <v>4.0999999999999996</v>
      </c>
    </row>
    <row r="242" spans="1:9" x14ac:dyDescent="0.25">
      <c r="A242" s="19">
        <v>442</v>
      </c>
      <c r="B242" s="17" t="s">
        <v>360</v>
      </c>
      <c r="C242" s="19">
        <v>22</v>
      </c>
      <c r="D242" s="17" t="s">
        <v>59</v>
      </c>
      <c r="E242" s="17" t="s">
        <v>40</v>
      </c>
      <c r="F242" s="18">
        <v>45525</v>
      </c>
      <c r="G242" s="20">
        <v>15474</v>
      </c>
      <c r="H242" s="17" t="s">
        <v>46</v>
      </c>
      <c r="I242">
        <v>4.0999999999999996</v>
      </c>
    </row>
    <row r="243" spans="1:9" x14ac:dyDescent="0.25">
      <c r="A243" s="19">
        <v>155</v>
      </c>
      <c r="B243" s="17" t="s">
        <v>706</v>
      </c>
      <c r="C243" s="19">
        <v>45</v>
      </c>
      <c r="D243" s="17" t="s">
        <v>39</v>
      </c>
      <c r="E243" s="17" t="s">
        <v>81</v>
      </c>
      <c r="F243" s="18">
        <v>44890</v>
      </c>
      <c r="G243" s="20">
        <v>15258</v>
      </c>
      <c r="H243" s="17" t="s">
        <v>219</v>
      </c>
      <c r="I243">
        <v>2.5</v>
      </c>
    </row>
    <row r="244" spans="1:9" x14ac:dyDescent="0.25">
      <c r="A244" s="19">
        <v>123</v>
      </c>
      <c r="B244" s="17" t="s">
        <v>199</v>
      </c>
      <c r="C244" s="19">
        <v>56</v>
      </c>
      <c r="D244" s="17" t="s">
        <v>59</v>
      </c>
      <c r="E244" s="17" t="s">
        <v>351</v>
      </c>
      <c r="F244" s="18">
        <v>45148</v>
      </c>
      <c r="G244" s="20">
        <v>7412</v>
      </c>
      <c r="H244" s="17" t="s">
        <v>112</v>
      </c>
      <c r="I244">
        <v>4.2</v>
      </c>
    </row>
    <row r="245" spans="1:9" x14ac:dyDescent="0.25">
      <c r="A245" s="19">
        <v>339</v>
      </c>
      <c r="B245" s="17" t="s">
        <v>711</v>
      </c>
      <c r="C245" s="19">
        <v>34</v>
      </c>
      <c r="D245" s="17" t="s">
        <v>59</v>
      </c>
      <c r="E245" s="17" t="s">
        <v>351</v>
      </c>
      <c r="F245" s="18">
        <v>45097</v>
      </c>
      <c r="G245" s="20">
        <v>2690</v>
      </c>
      <c r="H245" s="17" t="s">
        <v>75</v>
      </c>
      <c r="I245">
        <v>3.4</v>
      </c>
    </row>
    <row r="246" spans="1:9" x14ac:dyDescent="0.25">
      <c r="A246" s="19">
        <v>79</v>
      </c>
      <c r="B246" s="17" t="s">
        <v>714</v>
      </c>
      <c r="C246" s="19">
        <v>46</v>
      </c>
      <c r="D246" s="17" t="s">
        <v>59</v>
      </c>
      <c r="E246" s="17" t="s">
        <v>40</v>
      </c>
      <c r="F246" s="18">
        <v>45031</v>
      </c>
      <c r="G246" s="20">
        <v>604</v>
      </c>
      <c r="H246" s="17" t="s">
        <v>67</v>
      </c>
      <c r="I246">
        <v>1.9</v>
      </c>
    </row>
    <row r="247" spans="1:9" x14ac:dyDescent="0.25">
      <c r="A247" s="19">
        <v>62</v>
      </c>
      <c r="B247" s="17" t="s">
        <v>327</v>
      </c>
      <c r="C247" s="19">
        <v>51</v>
      </c>
      <c r="D247" s="17" t="s">
        <v>39</v>
      </c>
      <c r="E247" s="17" t="s">
        <v>106</v>
      </c>
      <c r="F247" s="18">
        <v>45197</v>
      </c>
      <c r="G247" s="20">
        <v>19970</v>
      </c>
      <c r="H247" s="17" t="s">
        <v>46</v>
      </c>
      <c r="I247">
        <v>3.1</v>
      </c>
    </row>
    <row r="248" spans="1:9" x14ac:dyDescent="0.25">
      <c r="A248" s="19">
        <v>476</v>
      </c>
      <c r="B248" s="17" t="s">
        <v>719</v>
      </c>
      <c r="C248" s="19">
        <v>27</v>
      </c>
      <c r="D248" s="17" t="s">
        <v>39</v>
      </c>
      <c r="E248" s="17" t="s">
        <v>124</v>
      </c>
      <c r="F248" s="18">
        <v>45318</v>
      </c>
      <c r="G248" s="20">
        <v>2216</v>
      </c>
      <c r="H248" s="17" t="s">
        <v>75</v>
      </c>
      <c r="I248">
        <v>2</v>
      </c>
    </row>
    <row r="249" spans="1:9" x14ac:dyDescent="0.25">
      <c r="A249" s="19">
        <v>126</v>
      </c>
      <c r="B249" s="17" t="s">
        <v>722</v>
      </c>
      <c r="C249" s="19">
        <v>32</v>
      </c>
      <c r="D249" s="17" t="s">
        <v>39</v>
      </c>
      <c r="E249" s="17" t="s">
        <v>34</v>
      </c>
      <c r="F249" s="18">
        <v>45309</v>
      </c>
      <c r="G249" s="20">
        <v>2879</v>
      </c>
      <c r="H249" s="17" t="s">
        <v>46</v>
      </c>
      <c r="I249">
        <v>2.1</v>
      </c>
    </row>
    <row r="250" spans="1:9" x14ac:dyDescent="0.25">
      <c r="A250" s="19">
        <v>319</v>
      </c>
      <c r="B250" s="17" t="s">
        <v>109</v>
      </c>
      <c r="C250" s="19">
        <v>38</v>
      </c>
      <c r="D250" s="17" t="s">
        <v>39</v>
      </c>
      <c r="E250" s="17" t="s">
        <v>40</v>
      </c>
      <c r="F250" s="18">
        <v>45631</v>
      </c>
      <c r="G250" s="20">
        <v>6838</v>
      </c>
      <c r="H250" s="17" t="s">
        <v>75</v>
      </c>
      <c r="I250">
        <v>1.5</v>
      </c>
    </row>
    <row r="251" spans="1:9" x14ac:dyDescent="0.25">
      <c r="A251" s="19">
        <v>317</v>
      </c>
      <c r="B251" s="17" t="s">
        <v>348</v>
      </c>
      <c r="C251" s="19">
        <v>52</v>
      </c>
      <c r="D251" s="17" t="s">
        <v>39</v>
      </c>
      <c r="E251" s="17" t="s">
        <v>106</v>
      </c>
      <c r="F251" s="18">
        <v>44802</v>
      </c>
      <c r="G251" s="20">
        <v>12299</v>
      </c>
      <c r="H251" s="17" t="s">
        <v>112</v>
      </c>
      <c r="I251">
        <v>4.5</v>
      </c>
    </row>
    <row r="252" spans="1:9" x14ac:dyDescent="0.25">
      <c r="A252" s="19">
        <v>496</v>
      </c>
      <c r="B252" s="17" t="s">
        <v>729</v>
      </c>
      <c r="C252" s="19">
        <v>56</v>
      </c>
      <c r="D252" s="17" t="s">
        <v>39</v>
      </c>
      <c r="E252" s="17" t="s">
        <v>40</v>
      </c>
      <c r="F252" s="18">
        <v>45060</v>
      </c>
      <c r="G252" s="20">
        <v>4551</v>
      </c>
      <c r="H252" s="17" t="s">
        <v>219</v>
      </c>
      <c r="I252">
        <v>1.7</v>
      </c>
    </row>
    <row r="253" spans="1:9" x14ac:dyDescent="0.25">
      <c r="A253" s="19">
        <v>431</v>
      </c>
      <c r="B253" s="17" t="s">
        <v>714</v>
      </c>
      <c r="C253" s="19">
        <v>54</v>
      </c>
      <c r="D253" s="17" t="s">
        <v>39</v>
      </c>
      <c r="E253" s="17" t="s">
        <v>81</v>
      </c>
      <c r="F253" s="18">
        <v>45640</v>
      </c>
      <c r="G253" s="20">
        <v>2292</v>
      </c>
      <c r="H253" s="17" t="s">
        <v>219</v>
      </c>
      <c r="I253">
        <v>1.9</v>
      </c>
    </row>
    <row r="254" spans="1:9" x14ac:dyDescent="0.25">
      <c r="A254" s="19">
        <v>451</v>
      </c>
      <c r="B254" s="17" t="s">
        <v>734</v>
      </c>
      <c r="C254" s="19">
        <v>37</v>
      </c>
      <c r="D254" s="17" t="s">
        <v>59</v>
      </c>
      <c r="E254" s="17" t="s">
        <v>351</v>
      </c>
      <c r="F254" s="18">
        <v>44749</v>
      </c>
      <c r="G254" s="20">
        <v>11360</v>
      </c>
      <c r="H254" s="17" t="s">
        <v>46</v>
      </c>
      <c r="I254">
        <v>2.9</v>
      </c>
    </row>
    <row r="255" spans="1:9" x14ac:dyDescent="0.25">
      <c r="A255" s="19">
        <v>418</v>
      </c>
      <c r="B255" s="17" t="s">
        <v>260</v>
      </c>
      <c r="C255" s="19">
        <v>45</v>
      </c>
      <c r="D255" s="17" t="s">
        <v>39</v>
      </c>
      <c r="E255" s="17" t="s">
        <v>81</v>
      </c>
      <c r="F255" s="18">
        <v>45449</v>
      </c>
      <c r="G255" s="20">
        <v>17549</v>
      </c>
      <c r="H255" s="17" t="s">
        <v>46</v>
      </c>
      <c r="I255">
        <v>3.6</v>
      </c>
    </row>
    <row r="256" spans="1:9" x14ac:dyDescent="0.25">
      <c r="A256" s="19">
        <v>25</v>
      </c>
      <c r="B256" s="17" t="s">
        <v>739</v>
      </c>
      <c r="C256" s="19">
        <v>39</v>
      </c>
      <c r="D256" s="17" t="s">
        <v>39</v>
      </c>
      <c r="E256" s="17" t="s">
        <v>34</v>
      </c>
      <c r="F256" s="18">
        <v>44714</v>
      </c>
      <c r="G256" s="20">
        <v>5586</v>
      </c>
      <c r="H256" s="17" t="s">
        <v>219</v>
      </c>
      <c r="I256">
        <v>4.7</v>
      </c>
    </row>
    <row r="257" spans="1:9" x14ac:dyDescent="0.25">
      <c r="A257" s="19">
        <v>329</v>
      </c>
      <c r="B257" s="17" t="s">
        <v>742</v>
      </c>
      <c r="C257" s="19">
        <v>57</v>
      </c>
      <c r="D257" s="17" t="s">
        <v>59</v>
      </c>
      <c r="E257" s="17" t="s">
        <v>34</v>
      </c>
      <c r="F257" s="18">
        <v>45032</v>
      </c>
      <c r="G257" s="20">
        <v>3912</v>
      </c>
      <c r="H257" s="17" t="s">
        <v>46</v>
      </c>
      <c r="I257">
        <v>2</v>
      </c>
    </row>
    <row r="258" spans="1:9" x14ac:dyDescent="0.25">
      <c r="A258" s="19">
        <v>440</v>
      </c>
      <c r="B258" s="17" t="s">
        <v>745</v>
      </c>
      <c r="C258" s="19">
        <v>49</v>
      </c>
      <c r="D258" s="17" t="s">
        <v>59</v>
      </c>
      <c r="E258" s="17" t="s">
        <v>40</v>
      </c>
      <c r="F258" s="18">
        <v>45410</v>
      </c>
      <c r="G258" s="20">
        <v>8489</v>
      </c>
      <c r="H258" s="17" t="s">
        <v>219</v>
      </c>
      <c r="I258">
        <v>4.5</v>
      </c>
    </row>
    <row r="259" spans="1:9" x14ac:dyDescent="0.25">
      <c r="A259" s="19">
        <v>127</v>
      </c>
      <c r="B259" s="17" t="s">
        <v>748</v>
      </c>
      <c r="C259" s="19">
        <v>32</v>
      </c>
      <c r="D259" s="17" t="s">
        <v>39</v>
      </c>
      <c r="E259" s="17" t="s">
        <v>351</v>
      </c>
      <c r="F259" s="18">
        <v>45180</v>
      </c>
      <c r="G259" s="20">
        <v>17408</v>
      </c>
      <c r="H259" s="17" t="s">
        <v>46</v>
      </c>
      <c r="I259">
        <v>3.2</v>
      </c>
    </row>
    <row r="260" spans="1:9" x14ac:dyDescent="0.25">
      <c r="A260" s="19">
        <v>424</v>
      </c>
      <c r="B260" s="17" t="s">
        <v>751</v>
      </c>
      <c r="C260" s="19">
        <v>43</v>
      </c>
      <c r="D260" s="17" t="s">
        <v>59</v>
      </c>
      <c r="E260" s="17" t="s">
        <v>34</v>
      </c>
      <c r="F260" s="18">
        <v>45662</v>
      </c>
      <c r="G260" s="20">
        <v>7904</v>
      </c>
      <c r="H260" s="17" t="s">
        <v>112</v>
      </c>
      <c r="I260">
        <v>2.7</v>
      </c>
    </row>
    <row r="261" spans="1:9" x14ac:dyDescent="0.25">
      <c r="A261" s="19">
        <v>328</v>
      </c>
      <c r="B261" s="17" t="s">
        <v>754</v>
      </c>
      <c r="C261" s="19">
        <v>20</v>
      </c>
      <c r="D261" s="17" t="s">
        <v>39</v>
      </c>
      <c r="E261" s="17" t="s">
        <v>106</v>
      </c>
      <c r="F261" s="18">
        <v>45288</v>
      </c>
      <c r="G261" s="20">
        <v>14377</v>
      </c>
      <c r="H261" s="17" t="s">
        <v>219</v>
      </c>
      <c r="I261">
        <v>2.5</v>
      </c>
    </row>
    <row r="262" spans="1:9" x14ac:dyDescent="0.25">
      <c r="A262" s="19">
        <v>179</v>
      </c>
      <c r="B262" s="17" t="s">
        <v>757</v>
      </c>
      <c r="C262" s="19">
        <v>56</v>
      </c>
      <c r="D262" s="17" t="s">
        <v>59</v>
      </c>
      <c r="E262" s="17" t="s">
        <v>106</v>
      </c>
      <c r="F262" s="18">
        <v>44829</v>
      </c>
      <c r="G262" s="20">
        <v>16733</v>
      </c>
      <c r="H262" s="17" t="s">
        <v>75</v>
      </c>
      <c r="I262">
        <v>3.4</v>
      </c>
    </row>
    <row r="263" spans="1:9" x14ac:dyDescent="0.25">
      <c r="A263" s="19">
        <v>444</v>
      </c>
      <c r="B263" s="17" t="s">
        <v>570</v>
      </c>
      <c r="C263" s="19">
        <v>33</v>
      </c>
      <c r="D263" s="17" t="s">
        <v>59</v>
      </c>
      <c r="E263" s="17" t="s">
        <v>81</v>
      </c>
      <c r="F263" s="18">
        <v>45459</v>
      </c>
      <c r="G263" s="20">
        <v>5508</v>
      </c>
      <c r="H263" s="17" t="s">
        <v>26</v>
      </c>
      <c r="I263">
        <v>4</v>
      </c>
    </row>
    <row r="264" spans="1:9" x14ac:dyDescent="0.25">
      <c r="A264" s="19">
        <v>381</v>
      </c>
      <c r="B264" s="17" t="s">
        <v>116</v>
      </c>
      <c r="C264" s="19">
        <v>47</v>
      </c>
      <c r="D264" s="17" t="s">
        <v>59</v>
      </c>
      <c r="E264" s="17" t="s">
        <v>40</v>
      </c>
      <c r="F264" s="18">
        <v>45114</v>
      </c>
      <c r="G264" s="20">
        <v>7141</v>
      </c>
      <c r="H264" s="17" t="s">
        <v>46</v>
      </c>
      <c r="I264">
        <v>2.4</v>
      </c>
    </row>
    <row r="265" spans="1:9" x14ac:dyDescent="0.25">
      <c r="A265" s="19">
        <v>224</v>
      </c>
      <c r="B265" s="17" t="s">
        <v>324</v>
      </c>
      <c r="C265" s="19">
        <v>58</v>
      </c>
      <c r="D265" s="17" t="s">
        <v>39</v>
      </c>
      <c r="E265" s="17" t="s">
        <v>34</v>
      </c>
      <c r="F265" s="18">
        <v>45333</v>
      </c>
      <c r="G265" s="20">
        <v>12115</v>
      </c>
      <c r="H265" s="17" t="s">
        <v>75</v>
      </c>
      <c r="I265">
        <v>4.8</v>
      </c>
    </row>
    <row r="266" spans="1:9" x14ac:dyDescent="0.25">
      <c r="A266" s="19">
        <v>359</v>
      </c>
      <c r="B266" s="17" t="s">
        <v>764</v>
      </c>
      <c r="C266" s="19">
        <v>40</v>
      </c>
      <c r="D266" s="17" t="s">
        <v>59</v>
      </c>
      <c r="E266" s="17" t="s">
        <v>81</v>
      </c>
      <c r="F266" s="18">
        <v>45247</v>
      </c>
      <c r="G266" s="20">
        <v>13846</v>
      </c>
      <c r="H266" s="17" t="s">
        <v>26</v>
      </c>
      <c r="I266">
        <v>1.1000000000000001</v>
      </c>
    </row>
    <row r="267" spans="1:9" x14ac:dyDescent="0.25">
      <c r="A267" s="19">
        <v>94</v>
      </c>
      <c r="B267" s="17" t="s">
        <v>767</v>
      </c>
      <c r="C267" s="19">
        <v>50</v>
      </c>
      <c r="D267" s="17" t="s">
        <v>39</v>
      </c>
      <c r="E267" s="17" t="s">
        <v>124</v>
      </c>
      <c r="F267" s="18">
        <v>45436</v>
      </c>
      <c r="G267" s="20">
        <v>11804</v>
      </c>
      <c r="H267" s="17" t="s">
        <v>26</v>
      </c>
      <c r="I267">
        <v>3.7</v>
      </c>
    </row>
    <row r="268" spans="1:9" x14ac:dyDescent="0.25">
      <c r="A268" s="19">
        <v>70</v>
      </c>
      <c r="B268" s="17" t="s">
        <v>770</v>
      </c>
      <c r="C268" s="19">
        <v>40</v>
      </c>
      <c r="D268" s="17" t="s">
        <v>39</v>
      </c>
      <c r="E268" s="17" t="s">
        <v>81</v>
      </c>
      <c r="F268" s="18">
        <v>45507</v>
      </c>
      <c r="G268" s="20">
        <v>9535</v>
      </c>
      <c r="H268" s="17" t="s">
        <v>112</v>
      </c>
      <c r="I268">
        <v>2.5</v>
      </c>
    </row>
    <row r="269" spans="1:9" x14ac:dyDescent="0.25">
      <c r="A269" s="19">
        <v>37</v>
      </c>
      <c r="B269" s="17" t="s">
        <v>127</v>
      </c>
      <c r="C269" s="19">
        <v>56</v>
      </c>
      <c r="D269" s="17" t="s">
        <v>59</v>
      </c>
      <c r="E269" s="17" t="s">
        <v>106</v>
      </c>
      <c r="F269" s="18">
        <v>45024</v>
      </c>
      <c r="G269" s="20">
        <v>9024</v>
      </c>
      <c r="H269" s="17" t="s">
        <v>26</v>
      </c>
      <c r="I269">
        <v>2.4</v>
      </c>
    </row>
    <row r="270" spans="1:9" x14ac:dyDescent="0.25">
      <c r="A270" s="19">
        <v>161</v>
      </c>
      <c r="B270" s="17" t="s">
        <v>116</v>
      </c>
      <c r="C270" s="19">
        <v>30</v>
      </c>
      <c r="D270" s="17" t="s">
        <v>59</v>
      </c>
      <c r="E270" s="17" t="s">
        <v>81</v>
      </c>
      <c r="F270" s="18">
        <v>45494</v>
      </c>
      <c r="G270" s="20">
        <v>17944</v>
      </c>
      <c r="H270" s="17" t="s">
        <v>112</v>
      </c>
      <c r="I270">
        <v>3.4</v>
      </c>
    </row>
    <row r="271" spans="1:9" x14ac:dyDescent="0.25">
      <c r="A271" s="19">
        <v>12</v>
      </c>
      <c r="B271" s="17" t="s">
        <v>286</v>
      </c>
      <c r="C271" s="19">
        <v>53</v>
      </c>
      <c r="D271" s="17" t="s">
        <v>39</v>
      </c>
      <c r="E271" s="17" t="s">
        <v>81</v>
      </c>
      <c r="F271" s="18">
        <v>45273</v>
      </c>
      <c r="G271" s="20">
        <v>828</v>
      </c>
      <c r="H271" s="17" t="s">
        <v>67</v>
      </c>
      <c r="I271">
        <v>1.5</v>
      </c>
    </row>
    <row r="272" spans="1:9" x14ac:dyDescent="0.25">
      <c r="A272" s="19">
        <v>145</v>
      </c>
      <c r="B272" s="17" t="s">
        <v>779</v>
      </c>
      <c r="C272" s="19">
        <v>39</v>
      </c>
      <c r="D272" s="17" t="s">
        <v>59</v>
      </c>
      <c r="E272" s="17" t="s">
        <v>34</v>
      </c>
      <c r="F272" s="18">
        <v>44757</v>
      </c>
      <c r="G272" s="20">
        <v>7070</v>
      </c>
      <c r="H272" s="17" t="s">
        <v>26</v>
      </c>
      <c r="I272">
        <v>1</v>
      </c>
    </row>
    <row r="273" spans="1:9" x14ac:dyDescent="0.25">
      <c r="A273" s="19">
        <v>361</v>
      </c>
      <c r="B273" s="17" t="s">
        <v>570</v>
      </c>
      <c r="C273" s="19">
        <v>45</v>
      </c>
      <c r="D273" s="17" t="s">
        <v>39</v>
      </c>
      <c r="E273" s="17" t="s">
        <v>124</v>
      </c>
      <c r="F273" s="18">
        <v>45365</v>
      </c>
      <c r="G273" s="20">
        <v>9433</v>
      </c>
      <c r="H273" s="17" t="s">
        <v>219</v>
      </c>
      <c r="I273">
        <v>1.5</v>
      </c>
    </row>
    <row r="274" spans="1:9" x14ac:dyDescent="0.25">
      <c r="A274" s="19">
        <v>448</v>
      </c>
      <c r="B274" s="17" t="s">
        <v>429</v>
      </c>
      <c r="C274" s="19">
        <v>45</v>
      </c>
      <c r="D274" s="17" t="s">
        <v>59</v>
      </c>
      <c r="E274" s="17" t="s">
        <v>81</v>
      </c>
      <c r="F274" s="18">
        <v>45308</v>
      </c>
      <c r="G274" s="20">
        <v>18688</v>
      </c>
      <c r="H274" s="17" t="s">
        <v>46</v>
      </c>
      <c r="I274">
        <v>4.7</v>
      </c>
    </row>
    <row r="275" spans="1:9" x14ac:dyDescent="0.25">
      <c r="A275" s="19">
        <v>10</v>
      </c>
      <c r="B275" s="17" t="s">
        <v>604</v>
      </c>
      <c r="C275" s="19">
        <v>28</v>
      </c>
      <c r="D275" s="17" t="s">
        <v>59</v>
      </c>
      <c r="E275" s="17" t="s">
        <v>351</v>
      </c>
      <c r="F275" s="18">
        <v>45565</v>
      </c>
      <c r="G275" s="20">
        <v>8887</v>
      </c>
      <c r="H275" s="17" t="s">
        <v>75</v>
      </c>
      <c r="I275">
        <v>4.9000000000000004</v>
      </c>
    </row>
    <row r="276" spans="1:9" x14ac:dyDescent="0.25">
      <c r="A276" s="19">
        <v>382</v>
      </c>
      <c r="B276" s="17" t="s">
        <v>790</v>
      </c>
      <c r="C276" s="19">
        <v>52</v>
      </c>
      <c r="D276" s="17" t="s">
        <v>59</v>
      </c>
      <c r="E276" s="17" t="s">
        <v>34</v>
      </c>
      <c r="F276" s="18">
        <v>45693</v>
      </c>
      <c r="G276" s="20">
        <v>18544</v>
      </c>
      <c r="H276" s="17" t="s">
        <v>67</v>
      </c>
      <c r="I276">
        <v>3.5</v>
      </c>
    </row>
    <row r="277" spans="1:9" x14ac:dyDescent="0.25">
      <c r="A277" s="19">
        <v>177</v>
      </c>
      <c r="B277" s="17" t="s">
        <v>298</v>
      </c>
      <c r="C277" s="19">
        <v>58</v>
      </c>
      <c r="D277" s="17" t="s">
        <v>59</v>
      </c>
      <c r="E277" s="17" t="s">
        <v>81</v>
      </c>
      <c r="F277" s="18">
        <v>45262</v>
      </c>
      <c r="G277" s="20">
        <v>7339</v>
      </c>
      <c r="H277" s="17" t="s">
        <v>67</v>
      </c>
      <c r="I277">
        <v>1.2</v>
      </c>
    </row>
    <row r="278" spans="1:9" x14ac:dyDescent="0.25">
      <c r="A278" s="19">
        <v>232</v>
      </c>
      <c r="B278" s="17" t="s">
        <v>795</v>
      </c>
      <c r="C278" s="19">
        <v>45</v>
      </c>
      <c r="D278" s="17" t="s">
        <v>59</v>
      </c>
      <c r="E278" s="17" t="s">
        <v>81</v>
      </c>
      <c r="F278" s="18">
        <v>45766</v>
      </c>
      <c r="G278" s="20">
        <v>6190</v>
      </c>
      <c r="H278" s="17" t="s">
        <v>75</v>
      </c>
      <c r="I278">
        <v>1.9</v>
      </c>
    </row>
    <row r="279" spans="1:9" x14ac:dyDescent="0.25">
      <c r="A279" s="19">
        <v>211</v>
      </c>
      <c r="B279" s="17" t="s">
        <v>47</v>
      </c>
      <c r="C279" s="19">
        <v>23</v>
      </c>
      <c r="D279" s="17" t="s">
        <v>39</v>
      </c>
      <c r="E279" s="17" t="s">
        <v>351</v>
      </c>
      <c r="F279" s="18">
        <v>45476</v>
      </c>
      <c r="G279" s="20">
        <v>18664</v>
      </c>
      <c r="H279" s="17" t="s">
        <v>46</v>
      </c>
      <c r="I279">
        <v>5</v>
      </c>
    </row>
    <row r="280" spans="1:9" x14ac:dyDescent="0.25">
      <c r="A280" s="19">
        <v>129</v>
      </c>
      <c r="B280" s="17" t="s">
        <v>477</v>
      </c>
      <c r="C280" s="19">
        <v>59</v>
      </c>
      <c r="D280" s="17" t="s">
        <v>59</v>
      </c>
      <c r="E280" s="17" t="s">
        <v>40</v>
      </c>
      <c r="F280" s="18">
        <v>45041</v>
      </c>
      <c r="G280" s="20">
        <v>19808</v>
      </c>
      <c r="H280" s="17" t="s">
        <v>219</v>
      </c>
      <c r="I280">
        <v>2</v>
      </c>
    </row>
    <row r="281" spans="1:9" x14ac:dyDescent="0.25">
      <c r="A281" s="19">
        <v>144</v>
      </c>
      <c r="B281" s="17" t="s">
        <v>176</v>
      </c>
      <c r="C281" s="19">
        <v>24</v>
      </c>
      <c r="D281" s="17" t="s">
        <v>59</v>
      </c>
      <c r="E281" s="17" t="s">
        <v>106</v>
      </c>
      <c r="F281" s="18">
        <v>45099</v>
      </c>
      <c r="G281" s="20">
        <v>4258</v>
      </c>
      <c r="H281" s="17" t="s">
        <v>75</v>
      </c>
      <c r="I281">
        <v>1.8</v>
      </c>
    </row>
    <row r="282" spans="1:9" x14ac:dyDescent="0.25">
      <c r="A282" s="19">
        <v>242</v>
      </c>
      <c r="B282" s="17" t="s">
        <v>160</v>
      </c>
      <c r="C282" s="19">
        <v>19</v>
      </c>
      <c r="D282" s="17" t="s">
        <v>39</v>
      </c>
      <c r="E282" s="17" t="s">
        <v>34</v>
      </c>
      <c r="F282" s="18">
        <v>45678</v>
      </c>
      <c r="G282" s="20">
        <v>10261</v>
      </c>
      <c r="H282" s="17" t="s">
        <v>26</v>
      </c>
      <c r="I282">
        <v>2.2999999999999998</v>
      </c>
    </row>
    <row r="283" spans="1:9" x14ac:dyDescent="0.25">
      <c r="A283" s="19">
        <v>8</v>
      </c>
      <c r="B283" s="17" t="s">
        <v>806</v>
      </c>
      <c r="C283" s="19">
        <v>40</v>
      </c>
      <c r="D283" s="17" t="s">
        <v>59</v>
      </c>
      <c r="E283" s="17" t="s">
        <v>106</v>
      </c>
      <c r="F283" s="18">
        <v>44837</v>
      </c>
      <c r="G283" s="20">
        <v>12244</v>
      </c>
      <c r="H283" s="17" t="s">
        <v>26</v>
      </c>
      <c r="I283">
        <v>2.8</v>
      </c>
    </row>
    <row r="284" spans="1:9" x14ac:dyDescent="0.25">
      <c r="A284" s="19">
        <v>299</v>
      </c>
      <c r="B284" s="17" t="s">
        <v>43</v>
      </c>
      <c r="C284" s="19">
        <v>50</v>
      </c>
      <c r="D284" s="17" t="s">
        <v>59</v>
      </c>
      <c r="E284" s="17" t="s">
        <v>124</v>
      </c>
      <c r="F284" s="18">
        <v>44737</v>
      </c>
      <c r="G284" s="20">
        <v>18460</v>
      </c>
      <c r="H284" s="17" t="s">
        <v>26</v>
      </c>
      <c r="I284">
        <v>2.4</v>
      </c>
    </row>
    <row r="285" spans="1:9" x14ac:dyDescent="0.25">
      <c r="A285" s="19">
        <v>255</v>
      </c>
      <c r="B285" s="17" t="s">
        <v>623</v>
      </c>
      <c r="C285" s="19">
        <v>41</v>
      </c>
      <c r="D285" s="17" t="s">
        <v>39</v>
      </c>
      <c r="E285" s="17" t="s">
        <v>351</v>
      </c>
      <c r="F285" s="18">
        <v>45391</v>
      </c>
      <c r="G285" s="20">
        <v>16382</v>
      </c>
      <c r="H285" s="17" t="s">
        <v>26</v>
      </c>
      <c r="I285">
        <v>2.4</v>
      </c>
    </row>
    <row r="286" spans="1:9" x14ac:dyDescent="0.25">
      <c r="A286" s="19">
        <v>378</v>
      </c>
      <c r="B286" s="17" t="s">
        <v>813</v>
      </c>
      <c r="C286" s="19">
        <v>21</v>
      </c>
      <c r="D286" s="17" t="s">
        <v>59</v>
      </c>
      <c r="E286" s="17" t="s">
        <v>351</v>
      </c>
      <c r="F286" s="18">
        <v>45480</v>
      </c>
      <c r="G286" s="20">
        <v>16744</v>
      </c>
      <c r="H286" s="17" t="s">
        <v>26</v>
      </c>
      <c r="I286">
        <v>4</v>
      </c>
    </row>
    <row r="287" spans="1:9" x14ac:dyDescent="0.25">
      <c r="A287" s="19">
        <v>342</v>
      </c>
      <c r="B287" s="17" t="s">
        <v>739</v>
      </c>
      <c r="C287" s="19">
        <v>26</v>
      </c>
      <c r="D287" s="17" t="s">
        <v>39</v>
      </c>
      <c r="E287" s="17" t="s">
        <v>34</v>
      </c>
      <c r="F287" s="18">
        <v>44721</v>
      </c>
      <c r="G287" s="20">
        <v>10887</v>
      </c>
      <c r="H287" s="17" t="s">
        <v>67</v>
      </c>
      <c r="I287">
        <v>3.7</v>
      </c>
    </row>
    <row r="288" spans="1:9" x14ac:dyDescent="0.25">
      <c r="A288" s="19">
        <v>9</v>
      </c>
      <c r="B288" s="17" t="s">
        <v>818</v>
      </c>
      <c r="C288" s="19">
        <v>28</v>
      </c>
      <c r="D288" s="17" t="s">
        <v>39</v>
      </c>
      <c r="E288" s="17" t="s">
        <v>106</v>
      </c>
      <c r="F288" s="18">
        <v>45050</v>
      </c>
      <c r="G288" s="20">
        <v>14497</v>
      </c>
      <c r="H288" s="17" t="s">
        <v>67</v>
      </c>
      <c r="I288">
        <v>1.5</v>
      </c>
    </row>
    <row r="289" spans="1:9" x14ac:dyDescent="0.25">
      <c r="A289" s="19">
        <v>157</v>
      </c>
      <c r="B289" s="17" t="s">
        <v>821</v>
      </c>
      <c r="C289" s="19">
        <v>56</v>
      </c>
      <c r="D289" s="17" t="s">
        <v>59</v>
      </c>
      <c r="E289" s="17" t="s">
        <v>34</v>
      </c>
      <c r="F289" s="18">
        <v>45772</v>
      </c>
      <c r="G289" s="20">
        <v>18484</v>
      </c>
      <c r="H289" s="17" t="s">
        <v>67</v>
      </c>
      <c r="I289">
        <v>1.2</v>
      </c>
    </row>
    <row r="290" spans="1:9" x14ac:dyDescent="0.25">
      <c r="A290" s="19">
        <v>28</v>
      </c>
      <c r="B290" s="17" t="s">
        <v>116</v>
      </c>
      <c r="C290" s="19">
        <v>59</v>
      </c>
      <c r="D290" s="17" t="s">
        <v>59</v>
      </c>
      <c r="E290" s="17" t="s">
        <v>351</v>
      </c>
      <c r="F290" s="18">
        <v>44866</v>
      </c>
      <c r="G290" s="20">
        <v>11230</v>
      </c>
      <c r="H290" s="17" t="s">
        <v>219</v>
      </c>
      <c r="I290">
        <v>4</v>
      </c>
    </row>
    <row r="291" spans="1:9" x14ac:dyDescent="0.25">
      <c r="A291" s="19">
        <v>267</v>
      </c>
      <c r="B291" s="17" t="s">
        <v>286</v>
      </c>
      <c r="C291" s="19">
        <v>42</v>
      </c>
      <c r="D291" s="17" t="s">
        <v>59</v>
      </c>
      <c r="E291" s="17" t="s">
        <v>34</v>
      </c>
      <c r="F291" s="18">
        <v>44889</v>
      </c>
      <c r="G291" s="20">
        <v>17122</v>
      </c>
      <c r="H291" s="17" t="s">
        <v>26</v>
      </c>
      <c r="I291">
        <v>1.4</v>
      </c>
    </row>
    <row r="292" spans="1:9" x14ac:dyDescent="0.25">
      <c r="A292" s="19">
        <v>65</v>
      </c>
      <c r="B292" s="17" t="s">
        <v>91</v>
      </c>
      <c r="C292" s="19">
        <v>31</v>
      </c>
      <c r="D292" s="17" t="s">
        <v>39</v>
      </c>
      <c r="E292" s="17" t="s">
        <v>34</v>
      </c>
      <c r="F292" s="18">
        <v>45327</v>
      </c>
      <c r="G292" s="20">
        <v>19407</v>
      </c>
      <c r="H292" s="17" t="s">
        <v>26</v>
      </c>
      <c r="I292">
        <v>3.2</v>
      </c>
    </row>
    <row r="293" spans="1:9" x14ac:dyDescent="0.25">
      <c r="A293" s="19">
        <v>256</v>
      </c>
      <c r="B293" s="17" t="s">
        <v>9</v>
      </c>
      <c r="C293" s="19">
        <v>50</v>
      </c>
      <c r="D293" s="17" t="s">
        <v>39</v>
      </c>
      <c r="E293" s="17" t="s">
        <v>40</v>
      </c>
      <c r="F293" s="18">
        <v>45175</v>
      </c>
      <c r="G293" s="20">
        <v>10588</v>
      </c>
      <c r="H293" s="17" t="s">
        <v>219</v>
      </c>
      <c r="I293">
        <v>4.0999999999999996</v>
      </c>
    </row>
    <row r="294" spans="1:9" x14ac:dyDescent="0.25">
      <c r="A294" s="19">
        <v>325</v>
      </c>
      <c r="B294" s="17" t="s">
        <v>176</v>
      </c>
      <c r="C294" s="19">
        <v>42</v>
      </c>
      <c r="D294" s="17" t="s">
        <v>59</v>
      </c>
      <c r="E294" s="17" t="s">
        <v>40</v>
      </c>
      <c r="F294" s="18">
        <v>45599</v>
      </c>
      <c r="G294" s="20">
        <v>10267</v>
      </c>
      <c r="H294" s="17" t="s">
        <v>46</v>
      </c>
      <c r="I294">
        <v>3.2</v>
      </c>
    </row>
    <row r="295" spans="1:9" x14ac:dyDescent="0.25">
      <c r="A295" s="19">
        <v>154</v>
      </c>
      <c r="B295" s="17" t="s">
        <v>518</v>
      </c>
      <c r="C295" s="19">
        <v>28</v>
      </c>
      <c r="D295" s="17" t="s">
        <v>39</v>
      </c>
      <c r="E295" s="17" t="s">
        <v>106</v>
      </c>
      <c r="F295" s="18">
        <v>45353</v>
      </c>
      <c r="G295" s="20">
        <v>8275</v>
      </c>
      <c r="H295" s="17" t="s">
        <v>75</v>
      </c>
      <c r="I295">
        <v>2.7</v>
      </c>
    </row>
    <row r="296" spans="1:9" x14ac:dyDescent="0.25">
      <c r="A296" s="19">
        <v>49</v>
      </c>
      <c r="B296" s="17" t="s">
        <v>160</v>
      </c>
      <c r="C296" s="19">
        <v>52</v>
      </c>
      <c r="D296" s="17" t="s">
        <v>39</v>
      </c>
      <c r="E296" s="17" t="s">
        <v>351</v>
      </c>
      <c r="F296" s="18">
        <v>44932</v>
      </c>
      <c r="G296" s="20">
        <v>14064</v>
      </c>
      <c r="H296" s="17" t="s">
        <v>67</v>
      </c>
      <c r="I296">
        <v>3.4</v>
      </c>
    </row>
    <row r="297" spans="1:9" x14ac:dyDescent="0.25">
      <c r="A297" s="19">
        <v>209</v>
      </c>
      <c r="B297" s="17" t="s">
        <v>354</v>
      </c>
      <c r="C297" s="19">
        <v>50</v>
      </c>
      <c r="D297" s="17" t="s">
        <v>39</v>
      </c>
      <c r="E297" s="17" t="s">
        <v>124</v>
      </c>
      <c r="F297" s="18">
        <v>44793</v>
      </c>
      <c r="G297" s="20">
        <v>19661</v>
      </c>
      <c r="H297" s="17" t="s">
        <v>46</v>
      </c>
      <c r="I297">
        <v>3</v>
      </c>
    </row>
    <row r="298" spans="1:9" x14ac:dyDescent="0.25">
      <c r="A298" s="19">
        <v>288</v>
      </c>
      <c r="B298" s="17" t="s">
        <v>87</v>
      </c>
      <c r="C298" s="19">
        <v>39</v>
      </c>
      <c r="D298" s="17" t="s">
        <v>59</v>
      </c>
      <c r="E298" s="17" t="s">
        <v>124</v>
      </c>
      <c r="F298" s="18">
        <v>44813</v>
      </c>
      <c r="G298" s="20">
        <v>19829</v>
      </c>
      <c r="H298" s="17" t="s">
        <v>75</v>
      </c>
      <c r="I298">
        <v>5</v>
      </c>
    </row>
    <row r="299" spans="1:9" x14ac:dyDescent="0.25">
      <c r="A299" s="19">
        <v>2</v>
      </c>
      <c r="B299" s="17" t="s">
        <v>842</v>
      </c>
      <c r="C299" s="19">
        <v>46</v>
      </c>
      <c r="D299" s="17" t="s">
        <v>39</v>
      </c>
      <c r="E299" s="17" t="s">
        <v>106</v>
      </c>
      <c r="F299" s="18">
        <v>44811</v>
      </c>
      <c r="G299" s="20">
        <v>3540</v>
      </c>
      <c r="H299" s="17" t="s">
        <v>75</v>
      </c>
      <c r="I299">
        <v>3.3</v>
      </c>
    </row>
    <row r="300" spans="1:9" x14ac:dyDescent="0.25">
      <c r="A300" s="19">
        <v>270</v>
      </c>
      <c r="B300" s="17" t="s">
        <v>385</v>
      </c>
      <c r="C300" s="19">
        <v>35</v>
      </c>
      <c r="D300" s="17" t="s">
        <v>59</v>
      </c>
      <c r="E300" s="17" t="s">
        <v>124</v>
      </c>
      <c r="F300" s="18">
        <v>45629</v>
      </c>
      <c r="G300" s="20">
        <v>8817</v>
      </c>
      <c r="H300" s="17" t="s">
        <v>46</v>
      </c>
      <c r="I300">
        <v>2.2000000000000002</v>
      </c>
    </row>
    <row r="301" spans="1:9" x14ac:dyDescent="0.25">
      <c r="A301" s="19">
        <v>266</v>
      </c>
      <c r="B301" s="17" t="s">
        <v>102</v>
      </c>
      <c r="C301" s="19">
        <v>52</v>
      </c>
      <c r="D301" s="17" t="s">
        <v>59</v>
      </c>
      <c r="E301" s="17" t="s">
        <v>124</v>
      </c>
      <c r="F301" s="18">
        <v>45732</v>
      </c>
      <c r="G301" s="20">
        <v>402</v>
      </c>
      <c r="H301" s="17" t="s">
        <v>75</v>
      </c>
      <c r="I301">
        <v>2</v>
      </c>
    </row>
    <row r="302" spans="1:9" x14ac:dyDescent="0.25">
      <c r="A302" s="19">
        <v>334</v>
      </c>
      <c r="B302" s="17" t="s">
        <v>245</v>
      </c>
      <c r="C302" s="19">
        <v>19</v>
      </c>
      <c r="D302" s="17" t="s">
        <v>39</v>
      </c>
      <c r="E302" s="17" t="s">
        <v>34</v>
      </c>
      <c r="F302" s="18">
        <v>44777</v>
      </c>
      <c r="G302" s="20">
        <v>6867</v>
      </c>
      <c r="H302" s="17" t="s">
        <v>46</v>
      </c>
      <c r="I302">
        <v>3.7</v>
      </c>
    </row>
    <row r="303" spans="1:9" x14ac:dyDescent="0.25">
      <c r="A303" s="19">
        <v>96</v>
      </c>
      <c r="B303" s="17" t="s">
        <v>851</v>
      </c>
      <c r="C303" s="19">
        <v>59</v>
      </c>
      <c r="D303" s="17" t="s">
        <v>39</v>
      </c>
      <c r="E303" s="17" t="s">
        <v>124</v>
      </c>
      <c r="F303" s="18">
        <v>45448</v>
      </c>
      <c r="G303" s="20">
        <v>6290</v>
      </c>
      <c r="H303" s="17" t="s">
        <v>112</v>
      </c>
      <c r="I303">
        <v>2.2000000000000002</v>
      </c>
    </row>
    <row r="304" spans="1:9" x14ac:dyDescent="0.25">
      <c r="A304" s="19">
        <v>473</v>
      </c>
      <c r="B304" s="17" t="s">
        <v>854</v>
      </c>
      <c r="C304" s="19">
        <v>25</v>
      </c>
      <c r="D304" s="17" t="s">
        <v>39</v>
      </c>
      <c r="E304" s="17" t="s">
        <v>81</v>
      </c>
      <c r="F304" s="18">
        <v>45794</v>
      </c>
      <c r="G304" s="20">
        <v>6998</v>
      </c>
      <c r="H304" s="17" t="s">
        <v>46</v>
      </c>
      <c r="I304">
        <v>1.2</v>
      </c>
    </row>
    <row r="305" spans="1:9" x14ac:dyDescent="0.25">
      <c r="A305" s="19">
        <v>305</v>
      </c>
      <c r="B305" s="17" t="s">
        <v>147</v>
      </c>
      <c r="C305" s="19">
        <v>52</v>
      </c>
      <c r="D305" s="17" t="s">
        <v>39</v>
      </c>
      <c r="E305" s="17" t="s">
        <v>34</v>
      </c>
      <c r="F305" s="18">
        <v>45323</v>
      </c>
      <c r="G305" s="20">
        <v>6388</v>
      </c>
      <c r="H305" s="17" t="s">
        <v>67</v>
      </c>
      <c r="I305">
        <v>1.7</v>
      </c>
    </row>
    <row r="306" spans="1:9" x14ac:dyDescent="0.25">
      <c r="A306" s="19">
        <v>117</v>
      </c>
      <c r="B306" s="17" t="s">
        <v>813</v>
      </c>
      <c r="C306" s="19">
        <v>31</v>
      </c>
      <c r="D306" s="17" t="s">
        <v>59</v>
      </c>
      <c r="E306" s="17" t="s">
        <v>34</v>
      </c>
      <c r="F306" s="18">
        <v>45095</v>
      </c>
      <c r="G306" s="20">
        <v>7583</v>
      </c>
      <c r="H306" s="17" t="s">
        <v>67</v>
      </c>
      <c r="I306">
        <v>4.8</v>
      </c>
    </row>
    <row r="307" spans="1:9" x14ac:dyDescent="0.25">
      <c r="A307" s="19">
        <v>46</v>
      </c>
      <c r="B307" s="17" t="s">
        <v>327</v>
      </c>
      <c r="C307" s="19">
        <v>45</v>
      </c>
      <c r="D307" s="17" t="s">
        <v>39</v>
      </c>
      <c r="E307" s="17" t="s">
        <v>106</v>
      </c>
      <c r="F307" s="18">
        <v>44948</v>
      </c>
      <c r="G307" s="20">
        <v>11616</v>
      </c>
      <c r="H307" s="17" t="s">
        <v>75</v>
      </c>
      <c r="I307">
        <v>1.3</v>
      </c>
    </row>
    <row r="308" spans="1:9" x14ac:dyDescent="0.25">
      <c r="A308" s="19">
        <v>162</v>
      </c>
      <c r="B308" s="17" t="s">
        <v>862</v>
      </c>
      <c r="C308" s="19">
        <v>58</v>
      </c>
      <c r="D308" s="17" t="s">
        <v>39</v>
      </c>
      <c r="E308" s="17" t="s">
        <v>34</v>
      </c>
      <c r="F308" s="18">
        <v>45141</v>
      </c>
      <c r="G308" s="20">
        <v>3736</v>
      </c>
      <c r="H308" s="17" t="s">
        <v>112</v>
      </c>
      <c r="I308">
        <v>2</v>
      </c>
    </row>
    <row r="309" spans="1:9" x14ac:dyDescent="0.25">
      <c r="A309" s="19">
        <v>499</v>
      </c>
      <c r="B309" s="17" t="s">
        <v>324</v>
      </c>
      <c r="C309" s="19">
        <v>40</v>
      </c>
      <c r="D309" s="17" t="s">
        <v>59</v>
      </c>
      <c r="E309" s="17" t="s">
        <v>40</v>
      </c>
      <c r="F309" s="18">
        <v>45730</v>
      </c>
      <c r="G309" s="20">
        <v>6059</v>
      </c>
      <c r="H309" s="17" t="s">
        <v>26</v>
      </c>
      <c r="I309">
        <v>3.8</v>
      </c>
    </row>
    <row r="310" spans="1:9" x14ac:dyDescent="0.25">
      <c r="A310" s="19">
        <v>118</v>
      </c>
      <c r="B310" s="17" t="s">
        <v>813</v>
      </c>
      <c r="C310" s="19">
        <v>20</v>
      </c>
      <c r="D310" s="17" t="s">
        <v>59</v>
      </c>
      <c r="E310" s="17" t="s">
        <v>351</v>
      </c>
      <c r="F310" s="18">
        <v>45780</v>
      </c>
      <c r="G310" s="20">
        <v>639</v>
      </c>
      <c r="H310" s="17" t="s">
        <v>75</v>
      </c>
      <c r="I310">
        <v>4.0999999999999996</v>
      </c>
    </row>
    <row r="311" spans="1:9" x14ac:dyDescent="0.25">
      <c r="A311" s="19">
        <v>289</v>
      </c>
      <c r="B311" s="17" t="s">
        <v>869</v>
      </c>
      <c r="C311" s="19">
        <v>39</v>
      </c>
      <c r="D311" s="17" t="s">
        <v>59</v>
      </c>
      <c r="E311" s="17" t="s">
        <v>351</v>
      </c>
      <c r="F311" s="18">
        <v>45293</v>
      </c>
      <c r="G311" s="20">
        <v>7773</v>
      </c>
      <c r="H311" s="17" t="s">
        <v>67</v>
      </c>
      <c r="I311">
        <v>1.9</v>
      </c>
    </row>
    <row r="312" spans="1:9" x14ac:dyDescent="0.25">
      <c r="A312" s="19">
        <v>78</v>
      </c>
      <c r="B312" s="17" t="s">
        <v>872</v>
      </c>
      <c r="C312" s="19">
        <v>58</v>
      </c>
      <c r="D312" s="17" t="s">
        <v>39</v>
      </c>
      <c r="E312" s="17" t="s">
        <v>40</v>
      </c>
      <c r="F312" s="18">
        <v>45011</v>
      </c>
      <c r="G312" s="20">
        <v>14783</v>
      </c>
      <c r="H312" s="17" t="s">
        <v>46</v>
      </c>
      <c r="I312">
        <v>1.1000000000000001</v>
      </c>
    </row>
    <row r="313" spans="1:9" x14ac:dyDescent="0.25">
      <c r="A313" s="19">
        <v>402</v>
      </c>
      <c r="B313" s="17" t="s">
        <v>875</v>
      </c>
      <c r="C313" s="19">
        <v>42</v>
      </c>
      <c r="D313" s="17" t="s">
        <v>59</v>
      </c>
      <c r="E313" s="17" t="s">
        <v>81</v>
      </c>
      <c r="F313" s="18">
        <v>44869</v>
      </c>
      <c r="G313" s="20">
        <v>5356</v>
      </c>
      <c r="H313" s="17" t="s">
        <v>75</v>
      </c>
      <c r="I313">
        <v>1.1000000000000001</v>
      </c>
    </row>
    <row r="314" spans="1:9" x14ac:dyDescent="0.25">
      <c r="A314" s="19">
        <v>64</v>
      </c>
      <c r="B314" s="17" t="s">
        <v>878</v>
      </c>
      <c r="C314" s="19">
        <v>53</v>
      </c>
      <c r="D314" s="17" t="s">
        <v>59</v>
      </c>
      <c r="E314" s="17" t="s">
        <v>34</v>
      </c>
      <c r="F314" s="18">
        <v>45334</v>
      </c>
      <c r="G314" s="20">
        <v>6688</v>
      </c>
      <c r="H314" s="17" t="s">
        <v>26</v>
      </c>
      <c r="I314">
        <v>2.6</v>
      </c>
    </row>
    <row r="315" spans="1:9" x14ac:dyDescent="0.25">
      <c r="A315" s="19">
        <v>459</v>
      </c>
      <c r="B315" s="17" t="s">
        <v>324</v>
      </c>
      <c r="C315" s="19">
        <v>20</v>
      </c>
      <c r="D315" s="17" t="s">
        <v>39</v>
      </c>
      <c r="E315" s="17" t="s">
        <v>40</v>
      </c>
      <c r="F315" s="18">
        <v>45092</v>
      </c>
      <c r="G315" s="20">
        <v>18349</v>
      </c>
      <c r="H315" s="17" t="s">
        <v>67</v>
      </c>
      <c r="I315">
        <v>3.3</v>
      </c>
    </row>
    <row r="316" spans="1:9" x14ac:dyDescent="0.25">
      <c r="A316" s="19">
        <v>397</v>
      </c>
      <c r="B316" s="17" t="s">
        <v>182</v>
      </c>
      <c r="C316" s="19">
        <v>29</v>
      </c>
      <c r="D316" s="17" t="s">
        <v>59</v>
      </c>
      <c r="E316" s="17" t="s">
        <v>351</v>
      </c>
      <c r="F316" s="18">
        <v>45109</v>
      </c>
      <c r="G316" s="20">
        <v>335</v>
      </c>
      <c r="H316" s="17" t="s">
        <v>75</v>
      </c>
      <c r="I316">
        <v>4.9000000000000004</v>
      </c>
    </row>
    <row r="317" spans="1:9" x14ac:dyDescent="0.25">
      <c r="A317" s="19">
        <v>231</v>
      </c>
      <c r="B317" s="17" t="s">
        <v>885</v>
      </c>
      <c r="C317" s="19">
        <v>28</v>
      </c>
      <c r="D317" s="17" t="s">
        <v>59</v>
      </c>
      <c r="E317" s="17" t="s">
        <v>106</v>
      </c>
      <c r="F317" s="18">
        <v>45414</v>
      </c>
      <c r="G317" s="20">
        <v>6338</v>
      </c>
      <c r="H317" s="17" t="s">
        <v>67</v>
      </c>
      <c r="I317">
        <v>3.4</v>
      </c>
    </row>
    <row r="318" spans="1:9" x14ac:dyDescent="0.25">
      <c r="A318" s="19">
        <v>298</v>
      </c>
      <c r="B318" s="17" t="s">
        <v>102</v>
      </c>
      <c r="C318" s="19">
        <v>47</v>
      </c>
      <c r="D318" s="17" t="s">
        <v>59</v>
      </c>
      <c r="E318" s="17" t="s">
        <v>124</v>
      </c>
      <c r="F318" s="18">
        <v>45464</v>
      </c>
      <c r="G318" s="20">
        <v>1162</v>
      </c>
      <c r="H318" s="17" t="s">
        <v>46</v>
      </c>
      <c r="I318">
        <v>4.0999999999999996</v>
      </c>
    </row>
    <row r="319" spans="1:9" x14ac:dyDescent="0.25">
      <c r="A319" s="19">
        <v>187</v>
      </c>
      <c r="B319" s="17" t="s">
        <v>890</v>
      </c>
      <c r="C319" s="19">
        <v>40</v>
      </c>
      <c r="D319" s="17" t="s">
        <v>39</v>
      </c>
      <c r="E319" s="17" t="s">
        <v>106</v>
      </c>
      <c r="F319" s="18">
        <v>44980</v>
      </c>
      <c r="G319" s="20">
        <v>4958</v>
      </c>
      <c r="H319" s="17" t="s">
        <v>112</v>
      </c>
      <c r="I319">
        <v>2.7</v>
      </c>
    </row>
    <row r="320" spans="1:9" x14ac:dyDescent="0.25">
      <c r="A320" s="19">
        <v>120</v>
      </c>
      <c r="B320" s="17" t="s">
        <v>893</v>
      </c>
      <c r="C320" s="19">
        <v>22</v>
      </c>
      <c r="D320" s="17" t="s">
        <v>39</v>
      </c>
      <c r="E320" s="17" t="s">
        <v>40</v>
      </c>
      <c r="F320" s="18">
        <v>45686</v>
      </c>
      <c r="G320" s="20">
        <v>4935</v>
      </c>
      <c r="H320" s="17" t="s">
        <v>46</v>
      </c>
      <c r="I320">
        <v>4.5</v>
      </c>
    </row>
    <row r="321" spans="1:9" x14ac:dyDescent="0.25">
      <c r="A321" s="19">
        <v>200</v>
      </c>
      <c r="B321" s="17" t="s">
        <v>806</v>
      </c>
      <c r="C321" s="19">
        <v>34</v>
      </c>
      <c r="D321" s="17" t="s">
        <v>39</v>
      </c>
      <c r="E321" s="17" t="s">
        <v>106</v>
      </c>
      <c r="F321" s="18">
        <v>45546</v>
      </c>
      <c r="G321" s="20">
        <v>7049</v>
      </c>
      <c r="H321" s="17" t="s">
        <v>46</v>
      </c>
      <c r="I321">
        <v>1.7</v>
      </c>
    </row>
    <row r="322" spans="1:9" x14ac:dyDescent="0.25">
      <c r="A322" s="19">
        <v>351</v>
      </c>
      <c r="B322" s="17" t="s">
        <v>898</v>
      </c>
      <c r="C322" s="19">
        <v>24</v>
      </c>
      <c r="D322" s="17" t="s">
        <v>59</v>
      </c>
      <c r="E322" s="17" t="s">
        <v>34</v>
      </c>
      <c r="F322" s="18">
        <v>45710</v>
      </c>
      <c r="G322" s="20">
        <v>19035</v>
      </c>
      <c r="H322" s="17" t="s">
        <v>75</v>
      </c>
      <c r="I322">
        <v>4.3</v>
      </c>
    </row>
    <row r="323" spans="1:9" x14ac:dyDescent="0.25">
      <c r="A323" s="19">
        <v>122</v>
      </c>
      <c r="B323" s="17" t="s">
        <v>438</v>
      </c>
      <c r="C323" s="19">
        <v>31</v>
      </c>
      <c r="D323" s="17" t="s">
        <v>39</v>
      </c>
      <c r="E323" s="17" t="s">
        <v>124</v>
      </c>
      <c r="F323" s="18">
        <v>44720</v>
      </c>
      <c r="G323" s="20">
        <v>14937</v>
      </c>
      <c r="H323" s="17" t="s">
        <v>67</v>
      </c>
      <c r="I323">
        <v>4.5999999999999996</v>
      </c>
    </row>
    <row r="324" spans="1:9" x14ac:dyDescent="0.25">
      <c r="A324" s="19">
        <v>479</v>
      </c>
      <c r="B324" s="17" t="s">
        <v>292</v>
      </c>
      <c r="C324" s="19">
        <v>58</v>
      </c>
      <c r="D324" s="17" t="s">
        <v>39</v>
      </c>
      <c r="E324" s="17" t="s">
        <v>40</v>
      </c>
      <c r="F324" s="18">
        <v>45210</v>
      </c>
      <c r="G324" s="20">
        <v>14253</v>
      </c>
      <c r="H324" s="17" t="s">
        <v>219</v>
      </c>
      <c r="I324">
        <v>3</v>
      </c>
    </row>
    <row r="325" spans="1:9" x14ac:dyDescent="0.25">
      <c r="A325" s="19">
        <v>443</v>
      </c>
      <c r="B325" s="17" t="s">
        <v>905</v>
      </c>
      <c r="C325" s="19">
        <v>21</v>
      </c>
      <c r="D325" s="17" t="s">
        <v>39</v>
      </c>
      <c r="E325" s="17" t="s">
        <v>106</v>
      </c>
      <c r="F325" s="18">
        <v>45686</v>
      </c>
      <c r="G325" s="20">
        <v>5888</v>
      </c>
      <c r="H325" s="17" t="s">
        <v>219</v>
      </c>
      <c r="I325">
        <v>4.4000000000000004</v>
      </c>
    </row>
    <row r="326" spans="1:9" x14ac:dyDescent="0.25">
      <c r="A326" s="19">
        <v>308</v>
      </c>
      <c r="B326" s="17" t="s">
        <v>594</v>
      </c>
      <c r="C326" s="19">
        <v>47</v>
      </c>
      <c r="D326" s="17" t="s">
        <v>59</v>
      </c>
      <c r="E326" s="17" t="s">
        <v>106</v>
      </c>
      <c r="F326" s="18">
        <v>45375</v>
      </c>
      <c r="G326" s="20">
        <v>6268</v>
      </c>
      <c r="H326" s="17" t="s">
        <v>67</v>
      </c>
      <c r="I326">
        <v>3.8</v>
      </c>
    </row>
    <row r="327" spans="1:9" x14ac:dyDescent="0.25">
      <c r="A327" s="19">
        <v>472</v>
      </c>
      <c r="B327" s="17" t="s">
        <v>9</v>
      </c>
      <c r="C327" s="19">
        <v>43</v>
      </c>
      <c r="D327" s="17" t="s">
        <v>59</v>
      </c>
      <c r="E327" s="17" t="s">
        <v>40</v>
      </c>
      <c r="F327" s="18">
        <v>44862</v>
      </c>
      <c r="G327" s="20">
        <v>2774</v>
      </c>
      <c r="H327" s="17" t="s">
        <v>46</v>
      </c>
      <c r="I327">
        <v>4.0999999999999996</v>
      </c>
    </row>
    <row r="328" spans="1:9" x14ac:dyDescent="0.25">
      <c r="A328" s="19">
        <v>159</v>
      </c>
      <c r="B328" s="17" t="s">
        <v>764</v>
      </c>
      <c r="C328" s="19">
        <v>18</v>
      </c>
      <c r="D328" s="17" t="s">
        <v>59</v>
      </c>
      <c r="E328" s="17" t="s">
        <v>81</v>
      </c>
      <c r="F328" s="18">
        <v>45727</v>
      </c>
      <c r="G328" s="20">
        <v>6089</v>
      </c>
      <c r="H328" s="17" t="s">
        <v>219</v>
      </c>
      <c r="I328">
        <v>3</v>
      </c>
    </row>
    <row r="329" spans="1:9" x14ac:dyDescent="0.25">
      <c r="A329" s="19">
        <v>86</v>
      </c>
      <c r="B329" s="17" t="s">
        <v>757</v>
      </c>
      <c r="C329" s="19">
        <v>18</v>
      </c>
      <c r="D329" s="17" t="s">
        <v>59</v>
      </c>
      <c r="E329" s="17" t="s">
        <v>351</v>
      </c>
      <c r="F329" s="18">
        <v>45140</v>
      </c>
      <c r="G329" s="20">
        <v>16617</v>
      </c>
      <c r="H329" s="17" t="s">
        <v>46</v>
      </c>
      <c r="I329">
        <v>3</v>
      </c>
    </row>
    <row r="330" spans="1:9" x14ac:dyDescent="0.25">
      <c r="A330" s="19">
        <v>226</v>
      </c>
      <c r="B330" s="17" t="s">
        <v>429</v>
      </c>
      <c r="C330" s="19">
        <v>57</v>
      </c>
      <c r="D330" s="17" t="s">
        <v>59</v>
      </c>
      <c r="E330" s="17" t="s">
        <v>34</v>
      </c>
      <c r="F330" s="18">
        <v>45447</v>
      </c>
      <c r="G330" s="20">
        <v>18390</v>
      </c>
      <c r="H330" s="17" t="s">
        <v>75</v>
      </c>
      <c r="I330">
        <v>4.4000000000000004</v>
      </c>
    </row>
    <row r="331" spans="1:9" x14ac:dyDescent="0.25">
      <c r="A331" s="19">
        <v>263</v>
      </c>
      <c r="B331" s="17" t="s">
        <v>917</v>
      </c>
      <c r="C331" s="19">
        <v>37</v>
      </c>
      <c r="D331" s="17" t="s">
        <v>39</v>
      </c>
      <c r="E331" s="17" t="s">
        <v>106</v>
      </c>
      <c r="F331" s="18">
        <v>45280</v>
      </c>
      <c r="G331" s="20">
        <v>13668</v>
      </c>
      <c r="H331" s="17" t="s">
        <v>219</v>
      </c>
      <c r="I331">
        <v>2.7</v>
      </c>
    </row>
    <row r="332" spans="1:9" x14ac:dyDescent="0.25">
      <c r="A332" s="19">
        <v>332</v>
      </c>
      <c r="B332" s="17" t="s">
        <v>153</v>
      </c>
      <c r="C332" s="19">
        <v>39</v>
      </c>
      <c r="D332" s="17" t="s">
        <v>39</v>
      </c>
      <c r="E332" s="17" t="s">
        <v>34</v>
      </c>
      <c r="F332" s="18">
        <v>45104</v>
      </c>
      <c r="G332" s="20">
        <v>1705</v>
      </c>
      <c r="H332" s="17" t="s">
        <v>219</v>
      </c>
      <c r="I332">
        <v>1.3</v>
      </c>
    </row>
    <row r="333" spans="1:9" x14ac:dyDescent="0.25">
      <c r="A333" s="19">
        <v>411</v>
      </c>
      <c r="B333" s="17" t="s">
        <v>739</v>
      </c>
      <c r="C333" s="19">
        <v>29</v>
      </c>
      <c r="D333" s="17" t="s">
        <v>39</v>
      </c>
      <c r="E333" s="17" t="s">
        <v>351</v>
      </c>
      <c r="F333" s="18">
        <v>45794</v>
      </c>
      <c r="G333" s="20">
        <v>9164</v>
      </c>
      <c r="H333" s="17" t="s">
        <v>26</v>
      </c>
      <c r="I333">
        <v>2.8</v>
      </c>
    </row>
    <row r="334" spans="1:9" x14ac:dyDescent="0.25">
      <c r="A334" s="19">
        <v>77</v>
      </c>
      <c r="B334" s="17" t="s">
        <v>923</v>
      </c>
      <c r="C334" s="19">
        <v>42</v>
      </c>
      <c r="D334" s="17" t="s">
        <v>59</v>
      </c>
      <c r="E334" s="17" t="s">
        <v>106</v>
      </c>
      <c r="F334" s="18">
        <v>44944</v>
      </c>
      <c r="G334" s="20">
        <v>10288</v>
      </c>
      <c r="H334" s="17" t="s">
        <v>46</v>
      </c>
      <c r="I334">
        <v>3.6</v>
      </c>
    </row>
    <row r="335" spans="1:9" x14ac:dyDescent="0.25">
      <c r="A335" s="19">
        <v>398</v>
      </c>
      <c r="B335" s="17" t="s">
        <v>43</v>
      </c>
      <c r="C335" s="19">
        <v>18</v>
      </c>
      <c r="D335" s="17" t="s">
        <v>59</v>
      </c>
      <c r="E335" s="17" t="s">
        <v>106</v>
      </c>
      <c r="F335" s="18">
        <v>44775</v>
      </c>
      <c r="G335" s="20">
        <v>10261</v>
      </c>
      <c r="H335" s="17" t="s">
        <v>75</v>
      </c>
      <c r="I335">
        <v>4</v>
      </c>
    </row>
    <row r="336" spans="1:9" x14ac:dyDescent="0.25">
      <c r="A336" s="19">
        <v>383</v>
      </c>
      <c r="B336" s="17" t="s">
        <v>714</v>
      </c>
      <c r="C336" s="19">
        <v>57</v>
      </c>
      <c r="D336" s="17" t="s">
        <v>59</v>
      </c>
      <c r="E336" s="17" t="s">
        <v>124</v>
      </c>
      <c r="F336" s="18">
        <v>45775</v>
      </c>
      <c r="G336" s="20">
        <v>5387</v>
      </c>
      <c r="H336" s="17" t="s">
        <v>112</v>
      </c>
      <c r="I336">
        <v>4.7</v>
      </c>
    </row>
    <row r="337" spans="1:9" x14ac:dyDescent="0.25">
      <c r="A337" s="19">
        <v>88</v>
      </c>
      <c r="B337" s="17" t="s">
        <v>337</v>
      </c>
      <c r="C337" s="19">
        <v>41</v>
      </c>
      <c r="D337" s="17" t="s">
        <v>59</v>
      </c>
      <c r="E337" s="17" t="s">
        <v>40</v>
      </c>
      <c r="F337" s="18">
        <v>45186</v>
      </c>
      <c r="G337" s="20">
        <v>3727</v>
      </c>
      <c r="H337" s="17" t="s">
        <v>219</v>
      </c>
      <c r="I337">
        <v>1.4</v>
      </c>
    </row>
    <row r="338" spans="1:9" x14ac:dyDescent="0.25">
      <c r="A338" s="19">
        <v>183</v>
      </c>
      <c r="B338" s="17" t="s">
        <v>80</v>
      </c>
      <c r="C338" s="19">
        <v>34</v>
      </c>
      <c r="D338" s="17" t="s">
        <v>59</v>
      </c>
      <c r="E338" s="17" t="s">
        <v>40</v>
      </c>
      <c r="F338" s="18">
        <v>45308</v>
      </c>
      <c r="G338" s="20">
        <v>10276</v>
      </c>
      <c r="H338" s="17" t="s">
        <v>112</v>
      </c>
      <c r="I338">
        <v>1.3</v>
      </c>
    </row>
    <row r="339" spans="1:9" x14ac:dyDescent="0.25">
      <c r="A339" s="19">
        <v>409</v>
      </c>
      <c r="B339" s="17" t="s">
        <v>343</v>
      </c>
      <c r="C339" s="19">
        <v>46</v>
      </c>
      <c r="D339" s="17" t="s">
        <v>39</v>
      </c>
      <c r="E339" s="17" t="s">
        <v>81</v>
      </c>
      <c r="F339" s="18">
        <v>45018</v>
      </c>
      <c r="G339" s="20">
        <v>6051</v>
      </c>
      <c r="H339" s="17" t="s">
        <v>75</v>
      </c>
      <c r="I339">
        <v>5</v>
      </c>
    </row>
    <row r="340" spans="1:9" x14ac:dyDescent="0.25">
      <c r="A340" s="19">
        <v>50</v>
      </c>
      <c r="B340" s="17" t="s">
        <v>937</v>
      </c>
      <c r="C340" s="19">
        <v>31</v>
      </c>
      <c r="D340" s="17" t="s">
        <v>59</v>
      </c>
      <c r="E340" s="17" t="s">
        <v>81</v>
      </c>
      <c r="F340" s="18">
        <v>44753</v>
      </c>
      <c r="G340" s="20">
        <v>17675</v>
      </c>
      <c r="H340" s="17" t="s">
        <v>46</v>
      </c>
      <c r="I340">
        <v>1.3</v>
      </c>
    </row>
    <row r="341" spans="1:9" x14ac:dyDescent="0.25">
      <c r="A341" s="19">
        <v>390</v>
      </c>
      <c r="B341" s="17" t="s">
        <v>176</v>
      </c>
      <c r="C341" s="19">
        <v>36</v>
      </c>
      <c r="D341" s="17" t="s">
        <v>59</v>
      </c>
      <c r="E341" s="17" t="s">
        <v>34</v>
      </c>
      <c r="F341" s="18">
        <v>45552</v>
      </c>
      <c r="G341" s="20">
        <v>18478</v>
      </c>
      <c r="H341" s="17" t="s">
        <v>75</v>
      </c>
      <c r="I341">
        <v>1.3</v>
      </c>
    </row>
    <row r="342" spans="1:9" x14ac:dyDescent="0.25">
      <c r="A342" s="19">
        <v>6</v>
      </c>
      <c r="B342" s="17" t="s">
        <v>43</v>
      </c>
      <c r="C342" s="19">
        <v>56</v>
      </c>
      <c r="D342" s="17" t="s">
        <v>59</v>
      </c>
      <c r="E342" s="17" t="s">
        <v>124</v>
      </c>
      <c r="F342" s="18">
        <v>45251</v>
      </c>
      <c r="G342" s="20">
        <v>3014</v>
      </c>
      <c r="H342" s="17" t="s">
        <v>75</v>
      </c>
      <c r="I342">
        <v>4.7</v>
      </c>
    </row>
    <row r="343" spans="1:9" x14ac:dyDescent="0.25">
      <c r="A343" s="19">
        <v>18</v>
      </c>
      <c r="B343" s="17" t="s">
        <v>944</v>
      </c>
      <c r="C343" s="19">
        <v>41</v>
      </c>
      <c r="D343" s="17" t="s">
        <v>59</v>
      </c>
      <c r="E343" s="17" t="s">
        <v>40</v>
      </c>
      <c r="F343" s="18">
        <v>45683</v>
      </c>
      <c r="G343" s="20">
        <v>16879</v>
      </c>
      <c r="H343" s="17" t="s">
        <v>75</v>
      </c>
      <c r="I343">
        <v>1.2</v>
      </c>
    </row>
    <row r="344" spans="1:9" x14ac:dyDescent="0.25">
      <c r="A344" s="19">
        <v>235</v>
      </c>
      <c r="B344" s="17" t="s">
        <v>947</v>
      </c>
      <c r="C344" s="19">
        <v>48</v>
      </c>
      <c r="D344" s="17" t="s">
        <v>59</v>
      </c>
      <c r="E344" s="17" t="s">
        <v>124</v>
      </c>
      <c r="F344" s="18">
        <v>45443</v>
      </c>
      <c r="G344" s="20">
        <v>10011</v>
      </c>
      <c r="H344" s="17" t="s">
        <v>219</v>
      </c>
      <c r="I344">
        <v>3.8</v>
      </c>
    </row>
    <row r="345" spans="1:9" x14ac:dyDescent="0.25">
      <c r="A345" s="19">
        <v>413</v>
      </c>
      <c r="B345" s="17" t="s">
        <v>950</v>
      </c>
      <c r="C345" s="19">
        <v>33</v>
      </c>
      <c r="D345" s="17" t="s">
        <v>39</v>
      </c>
      <c r="E345" s="17" t="s">
        <v>40</v>
      </c>
      <c r="F345" s="18">
        <v>44911</v>
      </c>
      <c r="G345" s="20">
        <v>19382</v>
      </c>
      <c r="H345" s="17" t="s">
        <v>46</v>
      </c>
      <c r="I345">
        <v>4.2</v>
      </c>
    </row>
    <row r="346" spans="1:9" x14ac:dyDescent="0.25">
      <c r="A346" s="19">
        <v>407</v>
      </c>
      <c r="B346" s="17" t="s">
        <v>58</v>
      </c>
      <c r="C346" s="19">
        <v>22</v>
      </c>
      <c r="D346" s="17" t="s">
        <v>39</v>
      </c>
      <c r="E346" s="17" t="s">
        <v>106</v>
      </c>
      <c r="F346" s="18">
        <v>44907</v>
      </c>
      <c r="G346" s="20">
        <v>3491</v>
      </c>
      <c r="H346" s="17" t="s">
        <v>112</v>
      </c>
      <c r="I346">
        <v>2.8</v>
      </c>
    </row>
    <row r="347" spans="1:9" x14ac:dyDescent="0.25">
      <c r="A347" s="19">
        <v>107</v>
      </c>
      <c r="B347" s="17" t="s">
        <v>289</v>
      </c>
      <c r="C347" s="19">
        <v>41</v>
      </c>
      <c r="D347" s="17" t="s">
        <v>39</v>
      </c>
      <c r="E347" s="17" t="s">
        <v>106</v>
      </c>
      <c r="F347" s="18">
        <v>44701</v>
      </c>
      <c r="G347" s="20">
        <v>7214</v>
      </c>
      <c r="H347" s="17" t="s">
        <v>26</v>
      </c>
      <c r="I347">
        <v>2.4</v>
      </c>
    </row>
    <row r="348" spans="1:9" x14ac:dyDescent="0.25">
      <c r="A348" s="19">
        <v>135</v>
      </c>
      <c r="B348" s="17" t="s">
        <v>382</v>
      </c>
      <c r="C348" s="19">
        <v>47</v>
      </c>
      <c r="D348" s="17" t="s">
        <v>59</v>
      </c>
      <c r="E348" s="17" t="s">
        <v>106</v>
      </c>
      <c r="F348" s="18">
        <v>45795</v>
      </c>
      <c r="G348" s="20">
        <v>10236</v>
      </c>
      <c r="H348" s="17" t="s">
        <v>219</v>
      </c>
      <c r="I348">
        <v>2.1</v>
      </c>
    </row>
    <row r="349" spans="1:9" x14ac:dyDescent="0.25">
      <c r="A349" s="19">
        <v>414</v>
      </c>
      <c r="B349" s="17" t="s">
        <v>958</v>
      </c>
      <c r="C349" s="19">
        <v>54</v>
      </c>
      <c r="D349" s="17" t="s">
        <v>59</v>
      </c>
      <c r="E349" s="17" t="s">
        <v>34</v>
      </c>
      <c r="F349" s="18">
        <v>44707</v>
      </c>
      <c r="G349" s="20">
        <v>177</v>
      </c>
      <c r="H349" s="17" t="s">
        <v>75</v>
      </c>
      <c r="I349">
        <v>3.8</v>
      </c>
    </row>
    <row r="350" spans="1:9" x14ac:dyDescent="0.25">
      <c r="A350" s="19">
        <v>227</v>
      </c>
      <c r="B350" s="17" t="s">
        <v>961</v>
      </c>
      <c r="C350" s="19">
        <v>56</v>
      </c>
      <c r="D350" s="17" t="s">
        <v>39</v>
      </c>
      <c r="E350" s="17" t="s">
        <v>124</v>
      </c>
      <c r="F350" s="18">
        <v>45453</v>
      </c>
      <c r="G350" s="20">
        <v>6354</v>
      </c>
      <c r="H350" s="17" t="s">
        <v>26</v>
      </c>
      <c r="I350">
        <v>4.4000000000000004</v>
      </c>
    </row>
    <row r="351" spans="1:9" x14ac:dyDescent="0.25">
      <c r="A351" s="19">
        <v>215</v>
      </c>
      <c r="B351" s="17" t="s">
        <v>964</v>
      </c>
      <c r="C351" s="19">
        <v>37</v>
      </c>
      <c r="D351" s="17" t="s">
        <v>59</v>
      </c>
      <c r="E351" s="17" t="s">
        <v>34</v>
      </c>
      <c r="F351" s="18">
        <v>44869</v>
      </c>
      <c r="G351" s="20">
        <v>19956</v>
      </c>
      <c r="H351" s="17" t="s">
        <v>46</v>
      </c>
      <c r="I351">
        <v>4.7</v>
      </c>
    </row>
    <row r="352" spans="1:9" x14ac:dyDescent="0.25">
      <c r="A352" s="19">
        <v>191</v>
      </c>
      <c r="B352" s="17" t="s">
        <v>330</v>
      </c>
      <c r="C352" s="19">
        <v>18</v>
      </c>
      <c r="D352" s="17" t="s">
        <v>39</v>
      </c>
      <c r="E352" s="17" t="s">
        <v>40</v>
      </c>
      <c r="F352" s="18">
        <v>44776</v>
      </c>
      <c r="G352" s="20">
        <v>15354</v>
      </c>
      <c r="H352" s="17" t="s">
        <v>46</v>
      </c>
      <c r="I352">
        <v>3</v>
      </c>
    </row>
    <row r="353" spans="1:9" x14ac:dyDescent="0.25">
      <c r="A353" s="19">
        <v>453</v>
      </c>
      <c r="B353" s="17" t="s">
        <v>969</v>
      </c>
      <c r="C353" s="19">
        <v>29</v>
      </c>
      <c r="D353" s="17" t="s">
        <v>59</v>
      </c>
      <c r="E353" s="17" t="s">
        <v>351</v>
      </c>
      <c r="F353" s="18">
        <v>45738</v>
      </c>
      <c r="G353" s="20">
        <v>2436</v>
      </c>
      <c r="H353" s="17" t="s">
        <v>75</v>
      </c>
      <c r="I353">
        <v>1.5</v>
      </c>
    </row>
    <row r="354" spans="1:9" x14ac:dyDescent="0.25">
      <c r="A354" s="19">
        <v>321</v>
      </c>
      <c r="B354" s="17" t="s">
        <v>330</v>
      </c>
      <c r="C354" s="19">
        <v>40</v>
      </c>
      <c r="D354" s="17" t="s">
        <v>39</v>
      </c>
      <c r="E354" s="17" t="s">
        <v>81</v>
      </c>
      <c r="F354" s="18">
        <v>45733</v>
      </c>
      <c r="G354" s="20">
        <v>2572</v>
      </c>
      <c r="H354" s="17" t="s">
        <v>219</v>
      </c>
      <c r="I354">
        <v>4.8</v>
      </c>
    </row>
    <row r="355" spans="1:9" x14ac:dyDescent="0.25">
      <c r="A355" s="19">
        <v>283</v>
      </c>
      <c r="B355" s="17" t="s">
        <v>403</v>
      </c>
      <c r="C355" s="19">
        <v>24</v>
      </c>
      <c r="D355" s="17" t="s">
        <v>39</v>
      </c>
      <c r="E355" s="17" t="s">
        <v>81</v>
      </c>
      <c r="F355" s="18">
        <v>45678</v>
      </c>
      <c r="G355" s="20">
        <v>17402</v>
      </c>
      <c r="H355" s="17" t="s">
        <v>46</v>
      </c>
      <c r="I355">
        <v>4.5</v>
      </c>
    </row>
    <row r="356" spans="1:9" x14ac:dyDescent="0.25">
      <c r="A356" s="19">
        <v>30</v>
      </c>
      <c r="B356" s="17" t="s">
        <v>477</v>
      </c>
      <c r="C356" s="19">
        <v>33</v>
      </c>
      <c r="D356" s="17" t="s">
        <v>59</v>
      </c>
      <c r="E356" s="17" t="s">
        <v>40</v>
      </c>
      <c r="F356" s="18">
        <v>45689</v>
      </c>
      <c r="G356" s="20">
        <v>1267</v>
      </c>
      <c r="H356" s="17" t="s">
        <v>219</v>
      </c>
      <c r="I356">
        <v>1.9</v>
      </c>
    </row>
    <row r="357" spans="1:9" x14ac:dyDescent="0.25">
      <c r="A357" s="19">
        <v>170</v>
      </c>
      <c r="B357" s="17" t="s">
        <v>978</v>
      </c>
      <c r="C357" s="19">
        <v>50</v>
      </c>
      <c r="D357" s="17" t="s">
        <v>39</v>
      </c>
      <c r="E357" s="17" t="s">
        <v>81</v>
      </c>
      <c r="F357" s="18">
        <v>45445</v>
      </c>
      <c r="G357" s="20">
        <v>17200</v>
      </c>
      <c r="H357" s="17" t="s">
        <v>67</v>
      </c>
      <c r="I357">
        <v>3.7</v>
      </c>
    </row>
    <row r="358" spans="1:9" x14ac:dyDescent="0.25">
      <c r="A358" s="19">
        <v>181</v>
      </c>
      <c r="B358" s="17" t="s">
        <v>382</v>
      </c>
      <c r="C358" s="19">
        <v>20</v>
      </c>
      <c r="D358" s="17" t="s">
        <v>39</v>
      </c>
      <c r="E358" s="17" t="s">
        <v>81</v>
      </c>
      <c r="F358" s="18">
        <v>45365</v>
      </c>
      <c r="G358" s="20">
        <v>17254</v>
      </c>
      <c r="H358" s="17" t="s">
        <v>112</v>
      </c>
      <c r="I358">
        <v>4.0999999999999996</v>
      </c>
    </row>
    <row r="359" spans="1:9" x14ac:dyDescent="0.25">
      <c r="A359" s="19">
        <v>101</v>
      </c>
      <c r="B359" s="17" t="s">
        <v>983</v>
      </c>
      <c r="C359" s="19">
        <v>26</v>
      </c>
      <c r="D359" s="17" t="s">
        <v>39</v>
      </c>
      <c r="E359" s="17" t="s">
        <v>81</v>
      </c>
      <c r="F359" s="18">
        <v>45524</v>
      </c>
      <c r="G359" s="20">
        <v>9688</v>
      </c>
      <c r="H359" s="17" t="s">
        <v>67</v>
      </c>
      <c r="I359">
        <v>1.1000000000000001</v>
      </c>
    </row>
    <row r="360" spans="1:9" x14ac:dyDescent="0.25">
      <c r="A360" s="19">
        <v>198</v>
      </c>
      <c r="B360" s="17" t="s">
        <v>986</v>
      </c>
      <c r="C360" s="19">
        <v>21</v>
      </c>
      <c r="D360" s="17" t="s">
        <v>39</v>
      </c>
      <c r="E360" s="17" t="s">
        <v>106</v>
      </c>
      <c r="F360" s="18">
        <v>44773</v>
      </c>
      <c r="G360" s="20">
        <v>13151</v>
      </c>
      <c r="H360" s="17" t="s">
        <v>67</v>
      </c>
      <c r="I360">
        <v>4.8</v>
      </c>
    </row>
    <row r="361" spans="1:9" x14ac:dyDescent="0.25">
      <c r="A361" s="19">
        <v>210</v>
      </c>
      <c r="B361" s="17" t="s">
        <v>113</v>
      </c>
      <c r="C361" s="19">
        <v>41</v>
      </c>
      <c r="D361" s="17" t="s">
        <v>39</v>
      </c>
      <c r="E361" s="17" t="s">
        <v>124</v>
      </c>
      <c r="F361" s="18">
        <v>44858</v>
      </c>
      <c r="G361" s="20">
        <v>10420</v>
      </c>
      <c r="H361" s="17" t="s">
        <v>219</v>
      </c>
      <c r="I361">
        <v>1.9</v>
      </c>
    </row>
    <row r="362" spans="1:9" x14ac:dyDescent="0.25">
      <c r="A362" s="19">
        <v>136</v>
      </c>
      <c r="B362" s="17" t="s">
        <v>742</v>
      </c>
      <c r="C362" s="19">
        <v>54</v>
      </c>
      <c r="D362" s="17" t="s">
        <v>59</v>
      </c>
      <c r="E362" s="17" t="s">
        <v>34</v>
      </c>
      <c r="F362" s="18">
        <v>44838</v>
      </c>
      <c r="G362" s="20">
        <v>109</v>
      </c>
      <c r="H362" s="17" t="s">
        <v>219</v>
      </c>
      <c r="I362">
        <v>1.1000000000000001</v>
      </c>
    </row>
    <row r="363" spans="1:9" x14ac:dyDescent="0.25">
      <c r="A363" s="19">
        <v>484</v>
      </c>
      <c r="B363" s="17" t="s">
        <v>992</v>
      </c>
      <c r="C363" s="19">
        <v>53</v>
      </c>
      <c r="D363" s="17" t="s">
        <v>39</v>
      </c>
      <c r="E363" s="17" t="s">
        <v>40</v>
      </c>
      <c r="F363" s="18">
        <v>45351</v>
      </c>
      <c r="G363" s="20">
        <v>914</v>
      </c>
      <c r="H363" s="17" t="s">
        <v>46</v>
      </c>
      <c r="I363">
        <v>2.2999999999999998</v>
      </c>
    </row>
    <row r="364" spans="1:9" x14ac:dyDescent="0.25">
      <c r="A364" s="19">
        <v>441</v>
      </c>
      <c r="B364" s="17" t="s">
        <v>995</v>
      </c>
      <c r="C364" s="19">
        <v>18</v>
      </c>
      <c r="D364" s="17" t="s">
        <v>59</v>
      </c>
      <c r="E364" s="17" t="s">
        <v>351</v>
      </c>
      <c r="F364" s="18">
        <v>44876</v>
      </c>
      <c r="G364" s="20">
        <v>17686</v>
      </c>
      <c r="H364" s="17" t="s">
        <v>46</v>
      </c>
      <c r="I364">
        <v>4.0999999999999996</v>
      </c>
    </row>
    <row r="365" spans="1:9" x14ac:dyDescent="0.25">
      <c r="A365" s="19">
        <v>199</v>
      </c>
      <c r="B365" s="17" t="s">
        <v>997</v>
      </c>
      <c r="C365" s="19">
        <v>28</v>
      </c>
      <c r="D365" s="17" t="s">
        <v>59</v>
      </c>
      <c r="E365" s="17" t="s">
        <v>81</v>
      </c>
      <c r="F365" s="18">
        <v>45420</v>
      </c>
      <c r="G365" s="20">
        <v>6981</v>
      </c>
      <c r="H365" s="17" t="s">
        <v>112</v>
      </c>
      <c r="I365">
        <v>2.8</v>
      </c>
    </row>
    <row r="366" spans="1:9" x14ac:dyDescent="0.25">
      <c r="A366" s="19">
        <v>374</v>
      </c>
      <c r="B366" s="17" t="s">
        <v>813</v>
      </c>
      <c r="C366" s="19">
        <v>50</v>
      </c>
      <c r="D366" s="17" t="s">
        <v>39</v>
      </c>
      <c r="E366" s="17" t="s">
        <v>81</v>
      </c>
      <c r="F366" s="18">
        <v>44839</v>
      </c>
      <c r="G366" s="20">
        <v>18510</v>
      </c>
      <c r="H366" s="17" t="s">
        <v>75</v>
      </c>
      <c r="I366">
        <v>3.5</v>
      </c>
    </row>
    <row r="367" spans="1:9" x14ac:dyDescent="0.25">
      <c r="A367" s="19">
        <v>167</v>
      </c>
      <c r="B367" s="17" t="s">
        <v>1002</v>
      </c>
      <c r="C367" s="19">
        <v>44</v>
      </c>
      <c r="D367" s="17" t="s">
        <v>39</v>
      </c>
      <c r="E367" s="17" t="s">
        <v>81</v>
      </c>
      <c r="F367" s="18">
        <v>45030</v>
      </c>
      <c r="G367" s="20">
        <v>6097</v>
      </c>
      <c r="H367" s="17" t="s">
        <v>219</v>
      </c>
      <c r="I367">
        <v>2.2000000000000002</v>
      </c>
    </row>
    <row r="368" spans="1:9" x14ac:dyDescent="0.25">
      <c r="A368" s="19">
        <v>395</v>
      </c>
      <c r="B368" s="17" t="s">
        <v>1005</v>
      </c>
      <c r="C368" s="19">
        <v>40</v>
      </c>
      <c r="D368" s="17" t="s">
        <v>59</v>
      </c>
      <c r="E368" s="17" t="s">
        <v>81</v>
      </c>
      <c r="F368" s="18">
        <v>45781</v>
      </c>
      <c r="G368" s="20">
        <v>18088</v>
      </c>
      <c r="H368" s="17" t="s">
        <v>26</v>
      </c>
      <c r="I368">
        <v>4.5</v>
      </c>
    </row>
    <row r="369" spans="1:9" x14ac:dyDescent="0.25">
      <c r="A369" s="19">
        <v>286</v>
      </c>
      <c r="B369" s="17" t="s">
        <v>47</v>
      </c>
      <c r="C369" s="19">
        <v>50</v>
      </c>
      <c r="D369" s="17" t="s">
        <v>39</v>
      </c>
      <c r="E369" s="17" t="s">
        <v>40</v>
      </c>
      <c r="F369" s="18">
        <v>44875</v>
      </c>
      <c r="G369" s="20">
        <v>1631</v>
      </c>
      <c r="H369" s="17" t="s">
        <v>75</v>
      </c>
      <c r="I369">
        <v>3.5</v>
      </c>
    </row>
    <row r="370" spans="1:9" x14ac:dyDescent="0.25">
      <c r="A370" s="19">
        <v>336</v>
      </c>
      <c r="B370" s="17" t="s">
        <v>1010</v>
      </c>
      <c r="C370" s="19">
        <v>59</v>
      </c>
      <c r="D370" s="17" t="s">
        <v>59</v>
      </c>
      <c r="E370" s="17" t="s">
        <v>351</v>
      </c>
      <c r="F370" s="18">
        <v>45739</v>
      </c>
      <c r="G370" s="20">
        <v>10689</v>
      </c>
      <c r="H370" s="17" t="s">
        <v>219</v>
      </c>
      <c r="I370">
        <v>4.4000000000000004</v>
      </c>
    </row>
    <row r="371" spans="1:9" x14ac:dyDescent="0.25">
      <c r="A371" s="19">
        <v>132</v>
      </c>
      <c r="B371" s="17" t="s">
        <v>58</v>
      </c>
      <c r="C371" s="19">
        <v>56</v>
      </c>
      <c r="D371" s="17" t="s">
        <v>59</v>
      </c>
      <c r="E371" s="17" t="s">
        <v>124</v>
      </c>
      <c r="F371" s="18">
        <v>45731</v>
      </c>
      <c r="G371" s="20">
        <v>16739</v>
      </c>
      <c r="H371" s="17" t="s">
        <v>26</v>
      </c>
      <c r="I371">
        <v>4.9000000000000004</v>
      </c>
    </row>
    <row r="372" spans="1:9" x14ac:dyDescent="0.25">
      <c r="A372" s="19">
        <v>40</v>
      </c>
      <c r="B372" s="17" t="s">
        <v>1015</v>
      </c>
      <c r="C372" s="19">
        <v>42</v>
      </c>
      <c r="D372" s="17" t="s">
        <v>39</v>
      </c>
      <c r="E372" s="17" t="s">
        <v>351</v>
      </c>
      <c r="F372" s="18">
        <v>45207</v>
      </c>
      <c r="G372" s="20">
        <v>4946</v>
      </c>
      <c r="H372" s="17" t="s">
        <v>46</v>
      </c>
      <c r="I372">
        <v>1.1000000000000001</v>
      </c>
    </row>
    <row r="373" spans="1:9" x14ac:dyDescent="0.25">
      <c r="A373" s="19">
        <v>216</v>
      </c>
      <c r="B373" s="17" t="s">
        <v>98</v>
      </c>
      <c r="C373" s="19">
        <v>53</v>
      </c>
      <c r="D373" s="17" t="s">
        <v>59</v>
      </c>
      <c r="E373" s="17" t="s">
        <v>351</v>
      </c>
      <c r="F373" s="18">
        <v>44781</v>
      </c>
      <c r="G373" s="20">
        <v>19316</v>
      </c>
      <c r="H373" s="17" t="s">
        <v>46</v>
      </c>
      <c r="I373">
        <v>1.7</v>
      </c>
    </row>
    <row r="374" spans="1:9" x14ac:dyDescent="0.25">
      <c r="A374" s="19">
        <v>44</v>
      </c>
      <c r="B374" s="17" t="s">
        <v>1018</v>
      </c>
      <c r="C374" s="19">
        <v>19</v>
      </c>
      <c r="D374" s="17" t="s">
        <v>39</v>
      </c>
      <c r="E374" s="17" t="s">
        <v>40</v>
      </c>
      <c r="F374" s="18">
        <v>45505</v>
      </c>
      <c r="G374" s="20">
        <v>2639</v>
      </c>
      <c r="H374" s="17" t="s">
        <v>26</v>
      </c>
      <c r="I374">
        <v>1.6</v>
      </c>
    </row>
    <row r="375" spans="1:9" x14ac:dyDescent="0.25">
      <c r="A375" s="19">
        <v>55</v>
      </c>
      <c r="B375" s="17" t="s">
        <v>1021</v>
      </c>
      <c r="C375" s="19">
        <v>19</v>
      </c>
      <c r="D375" s="17" t="s">
        <v>59</v>
      </c>
      <c r="E375" s="17" t="s">
        <v>351</v>
      </c>
      <c r="F375" s="18">
        <v>45720</v>
      </c>
      <c r="G375" s="20">
        <v>9680</v>
      </c>
      <c r="H375" s="17" t="s">
        <v>112</v>
      </c>
      <c r="I375">
        <v>1.8</v>
      </c>
    </row>
    <row r="376" spans="1:9" x14ac:dyDescent="0.25">
      <c r="A376" s="19">
        <v>488</v>
      </c>
      <c r="B376" s="17" t="s">
        <v>327</v>
      </c>
      <c r="C376" s="19">
        <v>27</v>
      </c>
      <c r="D376" s="17" t="s">
        <v>59</v>
      </c>
      <c r="E376" s="17" t="s">
        <v>351</v>
      </c>
      <c r="F376" s="18">
        <v>45794</v>
      </c>
      <c r="G376" s="20">
        <v>10557</v>
      </c>
      <c r="H376" s="17" t="s">
        <v>112</v>
      </c>
      <c r="I376">
        <v>1.1000000000000001</v>
      </c>
    </row>
    <row r="377" spans="1:9" x14ac:dyDescent="0.25">
      <c r="A377" s="19">
        <v>300</v>
      </c>
      <c r="B377" s="17" t="s">
        <v>1026</v>
      </c>
      <c r="C377" s="19">
        <v>45</v>
      </c>
      <c r="D377" s="17" t="s">
        <v>39</v>
      </c>
      <c r="E377" s="17" t="s">
        <v>106</v>
      </c>
      <c r="F377" s="18">
        <v>44969</v>
      </c>
      <c r="G377" s="20">
        <v>17780</v>
      </c>
      <c r="H377" s="17" t="s">
        <v>219</v>
      </c>
      <c r="I377">
        <v>1.2</v>
      </c>
    </row>
    <row r="378" spans="1:9" x14ac:dyDescent="0.25">
      <c r="A378" s="19">
        <v>468</v>
      </c>
      <c r="B378" s="17" t="s">
        <v>1029</v>
      </c>
      <c r="C378" s="19">
        <v>19</v>
      </c>
      <c r="D378" s="17" t="s">
        <v>39</v>
      </c>
      <c r="E378" s="17" t="s">
        <v>81</v>
      </c>
      <c r="F378" s="18">
        <v>45156</v>
      </c>
      <c r="G378" s="20">
        <v>2991</v>
      </c>
      <c r="H378" s="17" t="s">
        <v>75</v>
      </c>
      <c r="I378">
        <v>3.4</v>
      </c>
    </row>
    <row r="379" spans="1:9" x14ac:dyDescent="0.25">
      <c r="A379" s="19">
        <v>36</v>
      </c>
      <c r="B379" s="17" t="s">
        <v>289</v>
      </c>
      <c r="C379" s="19">
        <v>26</v>
      </c>
      <c r="D379" s="17" t="s">
        <v>59</v>
      </c>
      <c r="E379" s="17" t="s">
        <v>351</v>
      </c>
      <c r="F379" s="18">
        <v>45485</v>
      </c>
      <c r="G379" s="20">
        <v>5434</v>
      </c>
      <c r="H379" s="17" t="s">
        <v>112</v>
      </c>
      <c r="I379">
        <v>4.7</v>
      </c>
    </row>
    <row r="380" spans="1:9" x14ac:dyDescent="0.25">
      <c r="A380" s="19">
        <v>316</v>
      </c>
      <c r="B380" s="17" t="s">
        <v>1035</v>
      </c>
      <c r="C380" s="19">
        <v>48</v>
      </c>
      <c r="D380" s="17" t="s">
        <v>59</v>
      </c>
      <c r="E380" s="17" t="s">
        <v>34</v>
      </c>
      <c r="F380" s="18">
        <v>45143</v>
      </c>
      <c r="G380" s="20">
        <v>8043</v>
      </c>
      <c r="H380" s="17" t="s">
        <v>46</v>
      </c>
      <c r="I380">
        <v>1.4</v>
      </c>
    </row>
    <row r="381" spans="1:9" x14ac:dyDescent="0.25">
      <c r="A381" s="19">
        <v>400</v>
      </c>
      <c r="B381" s="17" t="s">
        <v>102</v>
      </c>
      <c r="C381" s="19">
        <v>51</v>
      </c>
      <c r="D381" s="17" t="s">
        <v>59</v>
      </c>
      <c r="E381" s="17" t="s">
        <v>40</v>
      </c>
      <c r="F381" s="18">
        <v>45406</v>
      </c>
      <c r="G381" s="20">
        <v>8667</v>
      </c>
      <c r="H381" s="17" t="s">
        <v>219</v>
      </c>
      <c r="I381">
        <v>4</v>
      </c>
    </row>
    <row r="382" spans="1:9" x14ac:dyDescent="0.25">
      <c r="A382" s="19">
        <v>277</v>
      </c>
      <c r="B382" s="17" t="s">
        <v>343</v>
      </c>
      <c r="C382" s="19">
        <v>21</v>
      </c>
      <c r="D382" s="17" t="s">
        <v>59</v>
      </c>
      <c r="E382" s="17" t="s">
        <v>40</v>
      </c>
      <c r="F382" s="18">
        <v>45526</v>
      </c>
      <c r="G382" s="20">
        <v>4721</v>
      </c>
      <c r="H382" s="17" t="s">
        <v>67</v>
      </c>
      <c r="I382">
        <v>3.7</v>
      </c>
    </row>
    <row r="383" spans="1:9" x14ac:dyDescent="0.25">
      <c r="A383" s="19">
        <v>125</v>
      </c>
      <c r="B383" s="17" t="s">
        <v>133</v>
      </c>
      <c r="C383" s="19">
        <v>26</v>
      </c>
      <c r="D383" s="17" t="s">
        <v>59</v>
      </c>
      <c r="E383" s="17" t="s">
        <v>351</v>
      </c>
      <c r="F383" s="18">
        <v>45043</v>
      </c>
      <c r="G383" s="20">
        <v>13316</v>
      </c>
      <c r="H383" s="17" t="s">
        <v>75</v>
      </c>
      <c r="I383">
        <v>1.1000000000000001</v>
      </c>
    </row>
    <row r="384" spans="1:9" x14ac:dyDescent="0.25">
      <c r="A384" s="19">
        <v>143</v>
      </c>
      <c r="B384" s="17" t="s">
        <v>813</v>
      </c>
      <c r="C384" s="19">
        <v>49</v>
      </c>
      <c r="D384" s="17" t="s">
        <v>39</v>
      </c>
      <c r="E384" s="17" t="s">
        <v>34</v>
      </c>
      <c r="F384" s="18">
        <v>45177</v>
      </c>
      <c r="G384" s="20">
        <v>14612</v>
      </c>
      <c r="H384" s="17" t="s">
        <v>75</v>
      </c>
      <c r="I384">
        <v>4.3</v>
      </c>
    </row>
    <row r="385" spans="1:9" x14ac:dyDescent="0.25">
      <c r="A385" s="19">
        <v>111</v>
      </c>
      <c r="B385" s="17" t="s">
        <v>754</v>
      </c>
      <c r="C385" s="19">
        <v>39</v>
      </c>
      <c r="D385" s="17" t="s">
        <v>59</v>
      </c>
      <c r="E385" s="17" t="s">
        <v>34</v>
      </c>
      <c r="F385" s="18">
        <v>44729</v>
      </c>
      <c r="G385" s="20">
        <v>11123</v>
      </c>
      <c r="H385" s="17" t="s">
        <v>67</v>
      </c>
      <c r="I385">
        <v>2.1</v>
      </c>
    </row>
    <row r="386" spans="1:9" x14ac:dyDescent="0.25">
      <c r="A386" s="19">
        <v>324</v>
      </c>
      <c r="B386" s="17" t="s">
        <v>127</v>
      </c>
      <c r="C386" s="19">
        <v>35</v>
      </c>
      <c r="D386" s="17" t="s">
        <v>39</v>
      </c>
      <c r="E386" s="17" t="s">
        <v>124</v>
      </c>
      <c r="F386" s="18">
        <v>44945</v>
      </c>
      <c r="G386" s="20">
        <v>1861</v>
      </c>
      <c r="H386" s="17" t="s">
        <v>67</v>
      </c>
      <c r="I386">
        <v>3.6</v>
      </c>
    </row>
    <row r="387" spans="1:9" x14ac:dyDescent="0.25">
      <c r="A387" s="19">
        <v>333</v>
      </c>
      <c r="B387" s="17" t="s">
        <v>764</v>
      </c>
      <c r="C387" s="19">
        <v>40</v>
      </c>
      <c r="D387" s="17" t="s">
        <v>39</v>
      </c>
      <c r="E387" s="17" t="s">
        <v>40</v>
      </c>
      <c r="F387" s="18">
        <v>44807</v>
      </c>
      <c r="G387" s="20">
        <v>5722</v>
      </c>
      <c r="H387" s="17" t="s">
        <v>75</v>
      </c>
      <c r="I387">
        <v>1.9</v>
      </c>
    </row>
    <row r="388" spans="1:9" x14ac:dyDescent="0.25">
      <c r="A388" s="19">
        <v>394</v>
      </c>
      <c r="B388" s="17" t="s">
        <v>1054</v>
      </c>
      <c r="C388" s="19">
        <v>43</v>
      </c>
      <c r="D388" s="17" t="s">
        <v>39</v>
      </c>
      <c r="E388" s="17" t="s">
        <v>351</v>
      </c>
      <c r="F388" s="18">
        <v>45744</v>
      </c>
      <c r="G388" s="20">
        <v>8084</v>
      </c>
      <c r="H388" s="17" t="s">
        <v>219</v>
      </c>
      <c r="I388">
        <v>1.2</v>
      </c>
    </row>
    <row r="389" spans="1:9" x14ac:dyDescent="0.25">
      <c r="A389" s="19">
        <v>474</v>
      </c>
      <c r="B389" s="17" t="s">
        <v>1057</v>
      </c>
      <c r="C389" s="19">
        <v>46</v>
      </c>
      <c r="D389" s="17" t="s">
        <v>59</v>
      </c>
      <c r="E389" s="17" t="s">
        <v>124</v>
      </c>
      <c r="F389" s="18">
        <v>44889</v>
      </c>
      <c r="G389" s="20">
        <v>10247</v>
      </c>
      <c r="H389" s="17" t="s">
        <v>75</v>
      </c>
      <c r="I389">
        <v>2.9</v>
      </c>
    </row>
    <row r="390" spans="1:9" x14ac:dyDescent="0.25">
      <c r="A390" s="19">
        <v>108</v>
      </c>
      <c r="B390" s="17" t="s">
        <v>563</v>
      </c>
      <c r="C390" s="19">
        <v>54</v>
      </c>
      <c r="D390" s="17" t="s">
        <v>59</v>
      </c>
      <c r="E390" s="17" t="s">
        <v>40</v>
      </c>
      <c r="F390" s="18">
        <v>45518</v>
      </c>
      <c r="G390" s="20">
        <v>13423</v>
      </c>
      <c r="H390" s="17" t="s">
        <v>26</v>
      </c>
      <c r="I390">
        <v>2</v>
      </c>
    </row>
    <row r="391" spans="1:9" x14ac:dyDescent="0.25">
      <c r="A391" s="19">
        <v>456</v>
      </c>
      <c r="B391" s="17" t="s">
        <v>878</v>
      </c>
      <c r="C391" s="19">
        <v>50</v>
      </c>
      <c r="D391" s="17" t="s">
        <v>59</v>
      </c>
      <c r="E391" s="17" t="s">
        <v>351</v>
      </c>
      <c r="F391" s="18">
        <v>45725</v>
      </c>
      <c r="G391" s="20">
        <v>19129</v>
      </c>
      <c r="H391" s="17" t="s">
        <v>219</v>
      </c>
      <c r="I391">
        <v>1.8</v>
      </c>
    </row>
    <row r="392" spans="1:9" x14ac:dyDescent="0.25">
      <c r="A392" s="19">
        <v>13</v>
      </c>
      <c r="B392" s="17" t="s">
        <v>9</v>
      </c>
      <c r="C392" s="19">
        <v>57</v>
      </c>
      <c r="D392" s="17" t="s">
        <v>59</v>
      </c>
      <c r="E392" s="17" t="s">
        <v>351</v>
      </c>
      <c r="F392" s="18">
        <v>45097</v>
      </c>
      <c r="G392" s="20">
        <v>17849</v>
      </c>
      <c r="H392" s="17" t="s">
        <v>26</v>
      </c>
      <c r="I392">
        <v>4.7</v>
      </c>
    </row>
    <row r="393" spans="1:9" x14ac:dyDescent="0.25">
      <c r="A393" s="19">
        <v>273</v>
      </c>
      <c r="B393" s="17" t="s">
        <v>1063</v>
      </c>
      <c r="C393" s="19">
        <v>33</v>
      </c>
      <c r="D393" s="17" t="s">
        <v>59</v>
      </c>
      <c r="E393" s="17" t="s">
        <v>81</v>
      </c>
      <c r="F393" s="18">
        <v>45708</v>
      </c>
      <c r="G393" s="20">
        <v>11579</v>
      </c>
      <c r="H393" s="17" t="s">
        <v>46</v>
      </c>
      <c r="I393">
        <v>1.1000000000000001</v>
      </c>
    </row>
    <row r="394" spans="1:9" x14ac:dyDescent="0.25">
      <c r="A394" s="19">
        <v>48</v>
      </c>
      <c r="B394" s="17" t="s">
        <v>1066</v>
      </c>
      <c r="C394" s="19">
        <v>25</v>
      </c>
      <c r="D394" s="17" t="s">
        <v>39</v>
      </c>
      <c r="E394" s="17" t="s">
        <v>40</v>
      </c>
      <c r="F394" s="18">
        <v>44782</v>
      </c>
      <c r="G394" s="20">
        <v>1642</v>
      </c>
      <c r="H394" s="17" t="s">
        <v>46</v>
      </c>
      <c r="I394">
        <v>3</v>
      </c>
    </row>
    <row r="395" spans="1:9" x14ac:dyDescent="0.25">
      <c r="A395" s="19">
        <v>204</v>
      </c>
      <c r="B395" s="17" t="s">
        <v>719</v>
      </c>
      <c r="C395" s="19">
        <v>51</v>
      </c>
      <c r="D395" s="17" t="s">
        <v>59</v>
      </c>
      <c r="E395" s="17" t="s">
        <v>40</v>
      </c>
      <c r="F395" s="18">
        <v>45131</v>
      </c>
      <c r="G395" s="20">
        <v>10309</v>
      </c>
      <c r="H395" s="17" t="s">
        <v>46</v>
      </c>
      <c r="I395">
        <v>4.2</v>
      </c>
    </row>
    <row r="396" spans="1:9" x14ac:dyDescent="0.25">
      <c r="A396" s="19">
        <v>478</v>
      </c>
      <c r="B396" s="17" t="s">
        <v>813</v>
      </c>
      <c r="C396" s="19">
        <v>51</v>
      </c>
      <c r="D396" s="17" t="s">
        <v>39</v>
      </c>
      <c r="E396" s="17" t="s">
        <v>81</v>
      </c>
      <c r="F396" s="18">
        <v>45350</v>
      </c>
      <c r="G396" s="20">
        <v>12398</v>
      </c>
      <c r="H396" s="17" t="s">
        <v>219</v>
      </c>
      <c r="I396">
        <v>1.6</v>
      </c>
    </row>
    <row r="397" spans="1:9" x14ac:dyDescent="0.25">
      <c r="A397" s="19">
        <v>22</v>
      </c>
      <c r="B397" s="17" t="s">
        <v>76</v>
      </c>
      <c r="C397" s="19">
        <v>38</v>
      </c>
      <c r="D397" s="17" t="s">
        <v>59</v>
      </c>
      <c r="E397" s="17" t="s">
        <v>106</v>
      </c>
      <c r="F397" s="18">
        <v>45023</v>
      </c>
      <c r="G397" s="20">
        <v>2602</v>
      </c>
      <c r="H397" s="17" t="s">
        <v>46</v>
      </c>
      <c r="I397">
        <v>2.2999999999999998</v>
      </c>
    </row>
    <row r="398" spans="1:9" x14ac:dyDescent="0.25">
      <c r="A398" s="19">
        <v>403</v>
      </c>
      <c r="B398" s="17" t="s">
        <v>1077</v>
      </c>
      <c r="C398" s="19">
        <v>57</v>
      </c>
      <c r="D398" s="17" t="s">
        <v>39</v>
      </c>
      <c r="E398" s="17" t="s">
        <v>351</v>
      </c>
      <c r="F398" s="18">
        <v>45482</v>
      </c>
      <c r="G398" s="20">
        <v>19119</v>
      </c>
      <c r="H398" s="17" t="s">
        <v>67</v>
      </c>
      <c r="I398">
        <v>2.2999999999999998</v>
      </c>
    </row>
    <row r="399" spans="1:9" x14ac:dyDescent="0.25">
      <c r="A399" s="19">
        <v>84</v>
      </c>
      <c r="B399" s="17" t="s">
        <v>1080</v>
      </c>
      <c r="C399" s="19">
        <v>26</v>
      </c>
      <c r="D399" s="17" t="s">
        <v>59</v>
      </c>
      <c r="E399" s="17" t="s">
        <v>34</v>
      </c>
      <c r="F399" s="18">
        <v>45435</v>
      </c>
      <c r="G399" s="20">
        <v>5129</v>
      </c>
      <c r="H399" s="17" t="s">
        <v>26</v>
      </c>
      <c r="I399">
        <v>4.2</v>
      </c>
    </row>
    <row r="400" spans="1:9" x14ac:dyDescent="0.25">
      <c r="A400" s="19">
        <v>131</v>
      </c>
      <c r="B400" s="17" t="s">
        <v>1083</v>
      </c>
      <c r="C400" s="19">
        <v>49</v>
      </c>
      <c r="D400" s="17" t="s">
        <v>59</v>
      </c>
      <c r="E400" s="17" t="s">
        <v>34</v>
      </c>
      <c r="F400" s="18">
        <v>45607</v>
      </c>
      <c r="G400" s="20">
        <v>5813</v>
      </c>
      <c r="H400" s="17" t="s">
        <v>67</v>
      </c>
      <c r="I400">
        <v>4.3</v>
      </c>
    </row>
    <row r="401" spans="1:9" x14ac:dyDescent="0.25">
      <c r="A401" s="19">
        <v>457</v>
      </c>
      <c r="B401" s="17" t="s">
        <v>623</v>
      </c>
      <c r="C401" s="19">
        <v>54</v>
      </c>
      <c r="D401" s="17" t="s">
        <v>59</v>
      </c>
      <c r="E401" s="17" t="s">
        <v>124</v>
      </c>
      <c r="F401" s="18">
        <v>44786</v>
      </c>
      <c r="G401" s="20">
        <v>4712</v>
      </c>
      <c r="H401" s="17" t="s">
        <v>26</v>
      </c>
      <c r="I401">
        <v>3</v>
      </c>
    </row>
    <row r="402" spans="1:9" x14ac:dyDescent="0.25">
      <c r="A402" s="19">
        <v>494</v>
      </c>
      <c r="B402" s="17" t="s">
        <v>15</v>
      </c>
      <c r="C402" s="19">
        <v>53</v>
      </c>
      <c r="D402" s="17" t="s">
        <v>59</v>
      </c>
      <c r="E402" s="17" t="s">
        <v>34</v>
      </c>
      <c r="F402" s="18">
        <v>44892</v>
      </c>
      <c r="G402" s="20">
        <v>927</v>
      </c>
      <c r="H402" s="17" t="s">
        <v>75</v>
      </c>
      <c r="I402">
        <v>4.2</v>
      </c>
    </row>
    <row r="403" spans="1:9" x14ac:dyDescent="0.25">
      <c r="A403" s="19">
        <v>230</v>
      </c>
      <c r="B403" s="17" t="s">
        <v>1091</v>
      </c>
      <c r="C403" s="19">
        <v>18</v>
      </c>
      <c r="D403" s="17" t="s">
        <v>39</v>
      </c>
      <c r="E403" s="17" t="s">
        <v>106</v>
      </c>
      <c r="F403" s="18">
        <v>45198</v>
      </c>
      <c r="G403" s="20">
        <v>15283</v>
      </c>
      <c r="H403" s="17" t="s">
        <v>26</v>
      </c>
      <c r="I403">
        <v>1.1000000000000001</v>
      </c>
    </row>
    <row r="404" spans="1:9" x14ac:dyDescent="0.25">
      <c r="A404" s="19">
        <v>287</v>
      </c>
      <c r="B404" s="17" t="s">
        <v>1095</v>
      </c>
      <c r="C404" s="19">
        <v>29</v>
      </c>
      <c r="D404" s="17" t="s">
        <v>39</v>
      </c>
      <c r="E404" s="17" t="s">
        <v>81</v>
      </c>
      <c r="F404" s="18">
        <v>45391</v>
      </c>
      <c r="G404" s="20">
        <v>8272</v>
      </c>
      <c r="H404" s="17" t="s">
        <v>219</v>
      </c>
      <c r="I404">
        <v>1.7</v>
      </c>
    </row>
    <row r="405" spans="1:9" x14ac:dyDescent="0.25">
      <c r="A405" s="19">
        <v>124</v>
      </c>
      <c r="B405" s="17" t="s">
        <v>251</v>
      </c>
      <c r="C405" s="19">
        <v>44</v>
      </c>
      <c r="D405" s="17" t="s">
        <v>39</v>
      </c>
      <c r="E405" s="17" t="s">
        <v>81</v>
      </c>
      <c r="F405" s="18">
        <v>44747</v>
      </c>
      <c r="G405" s="20">
        <v>5420</v>
      </c>
      <c r="H405" s="17" t="s">
        <v>75</v>
      </c>
      <c r="I405">
        <v>2.7</v>
      </c>
    </row>
    <row r="406" spans="1:9" x14ac:dyDescent="0.25">
      <c r="A406" s="19">
        <v>34</v>
      </c>
      <c r="B406" s="17" t="s">
        <v>969</v>
      </c>
      <c r="C406" s="19">
        <v>24</v>
      </c>
      <c r="D406" s="17" t="s">
        <v>59</v>
      </c>
      <c r="E406" s="17" t="s">
        <v>34</v>
      </c>
      <c r="F406" s="18">
        <v>45755</v>
      </c>
      <c r="G406" s="20">
        <v>4829</v>
      </c>
      <c r="H406" s="17" t="s">
        <v>112</v>
      </c>
      <c r="I406">
        <v>3</v>
      </c>
    </row>
    <row r="407" spans="1:9" x14ac:dyDescent="0.25">
      <c r="A407" s="19">
        <v>486</v>
      </c>
      <c r="B407" s="17" t="s">
        <v>113</v>
      </c>
      <c r="C407" s="19">
        <v>38</v>
      </c>
      <c r="D407" s="17" t="s">
        <v>39</v>
      </c>
      <c r="E407" s="17" t="s">
        <v>40</v>
      </c>
      <c r="F407" s="18">
        <v>44779</v>
      </c>
      <c r="G407" s="20">
        <v>10641</v>
      </c>
      <c r="H407" s="17" t="s">
        <v>46</v>
      </c>
      <c r="I407">
        <v>1.4</v>
      </c>
    </row>
    <row r="408" spans="1:9" x14ac:dyDescent="0.25">
      <c r="A408" s="19">
        <v>412</v>
      </c>
      <c r="B408" s="17" t="s">
        <v>1106</v>
      </c>
      <c r="C408" s="19">
        <v>43</v>
      </c>
      <c r="D408" s="17" t="s">
        <v>59</v>
      </c>
      <c r="E408" s="17" t="s">
        <v>40</v>
      </c>
      <c r="F408" s="18">
        <v>45470</v>
      </c>
      <c r="G408" s="20">
        <v>15624</v>
      </c>
      <c r="H408" s="17" t="s">
        <v>46</v>
      </c>
      <c r="I408">
        <v>1.7</v>
      </c>
    </row>
    <row r="409" spans="1:9" x14ac:dyDescent="0.25">
      <c r="A409" s="19">
        <v>20</v>
      </c>
      <c r="B409" s="17" t="s">
        <v>521</v>
      </c>
      <c r="C409" s="19">
        <v>55</v>
      </c>
      <c r="D409" s="17" t="s">
        <v>59</v>
      </c>
      <c r="E409" s="17" t="s">
        <v>40</v>
      </c>
      <c r="F409" s="18">
        <v>44952</v>
      </c>
      <c r="G409" s="20">
        <v>4271</v>
      </c>
      <c r="H409" s="17" t="s">
        <v>46</v>
      </c>
      <c r="I409">
        <v>4.2</v>
      </c>
    </row>
    <row r="410" spans="1:9" x14ac:dyDescent="0.25">
      <c r="A410" s="19">
        <v>220</v>
      </c>
      <c r="B410" s="17" t="s">
        <v>528</v>
      </c>
      <c r="C410" s="19">
        <v>36</v>
      </c>
      <c r="D410" s="17" t="s">
        <v>59</v>
      </c>
      <c r="E410" s="17" t="s">
        <v>34</v>
      </c>
      <c r="F410" s="18">
        <v>45768</v>
      </c>
      <c r="G410" s="20">
        <v>5669</v>
      </c>
      <c r="H410" s="17" t="s">
        <v>75</v>
      </c>
      <c r="I410">
        <v>3.8</v>
      </c>
    </row>
    <row r="411" spans="1:9" x14ac:dyDescent="0.25">
      <c r="A411" s="19">
        <v>380</v>
      </c>
      <c r="B411" s="17" t="s">
        <v>1113</v>
      </c>
      <c r="C411" s="19">
        <v>49</v>
      </c>
      <c r="D411" s="17" t="s">
        <v>39</v>
      </c>
      <c r="E411" s="17" t="s">
        <v>106</v>
      </c>
      <c r="F411" s="18">
        <v>45275</v>
      </c>
      <c r="G411" s="20">
        <v>2319</v>
      </c>
      <c r="H411" s="17" t="s">
        <v>67</v>
      </c>
      <c r="I411">
        <v>4.9000000000000004</v>
      </c>
    </row>
    <row r="412" spans="1:9" x14ac:dyDescent="0.25">
      <c r="A412" s="19">
        <v>420</v>
      </c>
      <c r="B412" s="17" t="s">
        <v>173</v>
      </c>
      <c r="C412" s="19">
        <v>47</v>
      </c>
      <c r="D412" s="17" t="s">
        <v>39</v>
      </c>
      <c r="E412" s="17" t="s">
        <v>40</v>
      </c>
      <c r="F412" s="18">
        <v>44854</v>
      </c>
      <c r="G412" s="20">
        <v>10635</v>
      </c>
      <c r="H412" s="17" t="s">
        <v>46</v>
      </c>
      <c r="I412">
        <v>4.8</v>
      </c>
    </row>
    <row r="413" spans="1:9" x14ac:dyDescent="0.25">
      <c r="A413" s="19">
        <v>357</v>
      </c>
      <c r="B413" s="17" t="s">
        <v>173</v>
      </c>
      <c r="C413" s="19">
        <v>31</v>
      </c>
      <c r="D413" s="17" t="s">
        <v>39</v>
      </c>
      <c r="E413" s="17" t="s">
        <v>351</v>
      </c>
      <c r="F413" s="18">
        <v>44756</v>
      </c>
      <c r="G413" s="20">
        <v>13803</v>
      </c>
      <c r="H413" s="17" t="s">
        <v>26</v>
      </c>
      <c r="I413">
        <v>4.5</v>
      </c>
    </row>
    <row r="414" spans="1:9" x14ac:dyDescent="0.25">
      <c r="A414" s="19">
        <v>150</v>
      </c>
      <c r="B414" s="17" t="s">
        <v>1121</v>
      </c>
      <c r="C414" s="19">
        <v>45</v>
      </c>
      <c r="D414" s="17" t="s">
        <v>39</v>
      </c>
      <c r="E414" s="17" t="s">
        <v>34</v>
      </c>
      <c r="F414" s="18">
        <v>45115</v>
      </c>
      <c r="G414" s="20">
        <v>7366</v>
      </c>
      <c r="H414" s="17" t="s">
        <v>46</v>
      </c>
      <c r="I414">
        <v>3.4</v>
      </c>
    </row>
    <row r="415" spans="1:9" x14ac:dyDescent="0.25">
      <c r="A415" s="19">
        <v>225</v>
      </c>
      <c r="B415" s="17" t="s">
        <v>1124</v>
      </c>
      <c r="C415" s="19">
        <v>50</v>
      </c>
      <c r="D415" s="17" t="s">
        <v>39</v>
      </c>
      <c r="E415" s="17" t="s">
        <v>34</v>
      </c>
      <c r="F415" s="18">
        <v>45100</v>
      </c>
      <c r="G415" s="20">
        <v>12334</v>
      </c>
      <c r="H415" s="17" t="s">
        <v>46</v>
      </c>
      <c r="I415">
        <v>2.9</v>
      </c>
    </row>
    <row r="416" spans="1:9" x14ac:dyDescent="0.25">
      <c r="A416" s="19">
        <v>248</v>
      </c>
      <c r="B416" s="17" t="s">
        <v>1127</v>
      </c>
      <c r="C416" s="19">
        <v>26</v>
      </c>
      <c r="D416" s="17" t="s">
        <v>39</v>
      </c>
      <c r="E416" s="17" t="s">
        <v>81</v>
      </c>
      <c r="F416" s="18">
        <v>45341</v>
      </c>
      <c r="G416" s="20">
        <v>7081</v>
      </c>
      <c r="H416" s="17" t="s">
        <v>75</v>
      </c>
      <c r="I416">
        <v>4.5</v>
      </c>
    </row>
    <row r="417" spans="1:9" x14ac:dyDescent="0.25">
      <c r="A417" s="19">
        <v>454</v>
      </c>
      <c r="B417" s="17" t="s">
        <v>443</v>
      </c>
      <c r="C417" s="19">
        <v>52</v>
      </c>
      <c r="D417" s="17" t="s">
        <v>59</v>
      </c>
      <c r="E417" s="17" t="s">
        <v>106</v>
      </c>
      <c r="F417" s="18">
        <v>45674</v>
      </c>
      <c r="G417" s="20">
        <v>5473</v>
      </c>
      <c r="H417" s="17" t="s">
        <v>75</v>
      </c>
      <c r="I417">
        <v>3.7</v>
      </c>
    </row>
    <row r="418" spans="1:9" x14ac:dyDescent="0.25">
      <c r="A418" s="19">
        <v>152</v>
      </c>
      <c r="B418" s="17" t="s">
        <v>1091</v>
      </c>
      <c r="C418" s="19">
        <v>37</v>
      </c>
      <c r="D418" s="17" t="s">
        <v>59</v>
      </c>
      <c r="E418" s="17" t="s">
        <v>351</v>
      </c>
      <c r="F418" s="18">
        <v>45072</v>
      </c>
      <c r="G418" s="20">
        <v>484</v>
      </c>
      <c r="H418" s="17" t="s">
        <v>219</v>
      </c>
      <c r="I418">
        <v>1.7</v>
      </c>
    </row>
    <row r="419" spans="1:9" x14ac:dyDescent="0.25">
      <c r="A419" s="19">
        <v>493</v>
      </c>
      <c r="B419" s="17" t="s">
        <v>324</v>
      </c>
      <c r="C419" s="19">
        <v>52</v>
      </c>
      <c r="D419" s="17" t="s">
        <v>39</v>
      </c>
      <c r="E419" s="17" t="s">
        <v>34</v>
      </c>
      <c r="F419" s="18">
        <v>45165</v>
      </c>
      <c r="G419" s="20">
        <v>15428</v>
      </c>
      <c r="H419" s="17" t="s">
        <v>219</v>
      </c>
      <c r="I419">
        <v>3.8</v>
      </c>
    </row>
    <row r="420" spans="1:9" x14ac:dyDescent="0.25">
      <c r="A420" s="19">
        <v>318</v>
      </c>
      <c r="B420" s="17" t="s">
        <v>1135</v>
      </c>
      <c r="C420" s="19">
        <v>50</v>
      </c>
      <c r="D420" s="17" t="s">
        <v>39</v>
      </c>
      <c r="E420" s="17" t="s">
        <v>106</v>
      </c>
      <c r="F420" s="18">
        <v>45307</v>
      </c>
      <c r="G420" s="20">
        <v>15828</v>
      </c>
      <c r="H420" s="17" t="s">
        <v>67</v>
      </c>
      <c r="I420">
        <v>3</v>
      </c>
    </row>
    <row r="421" spans="1:9" x14ac:dyDescent="0.25">
      <c r="A421" s="19">
        <v>292</v>
      </c>
      <c r="B421" s="17" t="s">
        <v>58</v>
      </c>
      <c r="C421" s="19">
        <v>55</v>
      </c>
      <c r="D421" s="17" t="s">
        <v>59</v>
      </c>
      <c r="E421" s="17" t="s">
        <v>351</v>
      </c>
      <c r="F421" s="18">
        <v>45331</v>
      </c>
      <c r="G421" s="20">
        <v>3186</v>
      </c>
      <c r="H421" s="17" t="s">
        <v>26</v>
      </c>
      <c r="I421">
        <v>3.4</v>
      </c>
    </row>
    <row r="422" spans="1:9" x14ac:dyDescent="0.25">
      <c r="A422" s="19">
        <v>234</v>
      </c>
      <c r="B422" s="17" t="s">
        <v>1083</v>
      </c>
      <c r="C422" s="19">
        <v>40</v>
      </c>
      <c r="D422" s="17" t="s">
        <v>39</v>
      </c>
      <c r="E422" s="17" t="s">
        <v>40</v>
      </c>
      <c r="F422" s="18">
        <v>44968</v>
      </c>
      <c r="G422" s="20">
        <v>12747</v>
      </c>
      <c r="H422" s="17" t="s">
        <v>219</v>
      </c>
      <c r="I422">
        <v>1.3</v>
      </c>
    </row>
    <row r="423" spans="1:9" x14ac:dyDescent="0.25">
      <c r="A423" s="19">
        <v>11</v>
      </c>
      <c r="B423" s="17" t="s">
        <v>389</v>
      </c>
      <c r="C423" s="19">
        <v>41</v>
      </c>
      <c r="D423" s="17" t="s">
        <v>39</v>
      </c>
      <c r="E423" s="17" t="s">
        <v>81</v>
      </c>
      <c r="F423" s="18">
        <v>44717</v>
      </c>
      <c r="G423" s="20">
        <v>14291</v>
      </c>
      <c r="H423" s="17" t="s">
        <v>26</v>
      </c>
      <c r="I423">
        <v>4.4000000000000004</v>
      </c>
    </row>
    <row r="424" spans="1:9" x14ac:dyDescent="0.25">
      <c r="A424" s="19">
        <v>280</v>
      </c>
      <c r="B424" s="17" t="s">
        <v>947</v>
      </c>
      <c r="C424" s="19">
        <v>38</v>
      </c>
      <c r="D424" s="17" t="s">
        <v>39</v>
      </c>
      <c r="E424" s="17" t="s">
        <v>106</v>
      </c>
      <c r="F424" s="18">
        <v>45343</v>
      </c>
      <c r="G424" s="20">
        <v>5226</v>
      </c>
      <c r="H424" s="17" t="s">
        <v>112</v>
      </c>
      <c r="I424">
        <v>4.0999999999999996</v>
      </c>
    </row>
    <row r="425" spans="1:9" x14ac:dyDescent="0.25">
      <c r="A425" s="19">
        <v>72</v>
      </c>
      <c r="B425" s="17" t="s">
        <v>98</v>
      </c>
      <c r="C425" s="19">
        <v>38</v>
      </c>
      <c r="D425" s="17" t="s">
        <v>59</v>
      </c>
      <c r="E425" s="17" t="s">
        <v>40</v>
      </c>
      <c r="F425" s="18">
        <v>45133</v>
      </c>
      <c r="G425" s="20">
        <v>13216</v>
      </c>
      <c r="H425" s="17" t="s">
        <v>219</v>
      </c>
      <c r="I425">
        <v>3.6</v>
      </c>
    </row>
    <row r="426" spans="1:9" x14ac:dyDescent="0.25">
      <c r="A426" s="19">
        <v>253</v>
      </c>
      <c r="B426" s="17" t="s">
        <v>426</v>
      </c>
      <c r="C426" s="19">
        <v>20</v>
      </c>
      <c r="D426" s="17" t="s">
        <v>59</v>
      </c>
      <c r="E426" s="17" t="s">
        <v>351</v>
      </c>
      <c r="F426" s="18">
        <v>45074</v>
      </c>
      <c r="G426" s="20">
        <v>10260</v>
      </c>
      <c r="H426" s="17" t="s">
        <v>46</v>
      </c>
      <c r="I426">
        <v>4.2</v>
      </c>
    </row>
    <row r="427" spans="1:9" x14ac:dyDescent="0.25">
      <c r="A427" s="19">
        <v>93</v>
      </c>
      <c r="B427" s="17" t="s">
        <v>233</v>
      </c>
      <c r="C427" s="19">
        <v>52</v>
      </c>
      <c r="D427" s="17" t="s">
        <v>39</v>
      </c>
      <c r="E427" s="17" t="s">
        <v>34</v>
      </c>
      <c r="F427" s="18">
        <v>45757</v>
      </c>
      <c r="G427" s="20">
        <v>13943</v>
      </c>
      <c r="H427" s="17" t="s">
        <v>112</v>
      </c>
      <c r="I427">
        <v>2.6</v>
      </c>
    </row>
    <row r="428" spans="1:9" x14ac:dyDescent="0.25">
      <c r="A428" s="19">
        <v>492</v>
      </c>
      <c r="B428" s="17" t="s">
        <v>80</v>
      </c>
      <c r="C428" s="19">
        <v>52</v>
      </c>
      <c r="D428" s="17" t="s">
        <v>59</v>
      </c>
      <c r="E428" s="17" t="s">
        <v>40</v>
      </c>
      <c r="F428" s="18">
        <v>44849</v>
      </c>
      <c r="G428" s="20">
        <v>17468</v>
      </c>
      <c r="H428" s="17" t="s">
        <v>75</v>
      </c>
      <c r="I428">
        <v>3.3</v>
      </c>
    </row>
    <row r="429" spans="1:9" x14ac:dyDescent="0.25">
      <c r="A429" s="19">
        <v>350</v>
      </c>
      <c r="B429" s="17" t="s">
        <v>1154</v>
      </c>
      <c r="C429" s="19">
        <v>30</v>
      </c>
      <c r="D429" s="17" t="s">
        <v>59</v>
      </c>
      <c r="E429" s="17" t="s">
        <v>106</v>
      </c>
      <c r="F429" s="18">
        <v>45017</v>
      </c>
      <c r="G429" s="20">
        <v>14017</v>
      </c>
      <c r="H429" s="17" t="s">
        <v>67</v>
      </c>
      <c r="I429">
        <v>3</v>
      </c>
    </row>
    <row r="430" spans="1:9" x14ac:dyDescent="0.25">
      <c r="A430" s="19">
        <v>416</v>
      </c>
      <c r="B430" s="17" t="s">
        <v>961</v>
      </c>
      <c r="C430" s="19">
        <v>46</v>
      </c>
      <c r="D430" s="17" t="s">
        <v>59</v>
      </c>
      <c r="E430" s="17" t="s">
        <v>106</v>
      </c>
      <c r="F430" s="18">
        <v>45409</v>
      </c>
      <c r="G430" s="20">
        <v>17084</v>
      </c>
      <c r="H430" s="17" t="s">
        <v>46</v>
      </c>
      <c r="I430">
        <v>1.3</v>
      </c>
    </row>
    <row r="431" spans="1:9" x14ac:dyDescent="0.25">
      <c r="A431" s="19">
        <v>375</v>
      </c>
      <c r="B431" s="17" t="s">
        <v>289</v>
      </c>
      <c r="C431" s="19">
        <v>25</v>
      </c>
      <c r="D431" s="17" t="s">
        <v>39</v>
      </c>
      <c r="E431" s="17" t="s">
        <v>124</v>
      </c>
      <c r="F431" s="18">
        <v>44781</v>
      </c>
      <c r="G431" s="20">
        <v>14694</v>
      </c>
      <c r="H431" s="17" t="s">
        <v>112</v>
      </c>
      <c r="I431">
        <v>3.2</v>
      </c>
    </row>
    <row r="432" spans="1:9" x14ac:dyDescent="0.25">
      <c r="A432" s="19">
        <v>401</v>
      </c>
      <c r="B432" s="17" t="s">
        <v>1161</v>
      </c>
      <c r="C432" s="19">
        <v>49</v>
      </c>
      <c r="D432" s="17" t="s">
        <v>59</v>
      </c>
      <c r="E432" s="17" t="s">
        <v>34</v>
      </c>
      <c r="F432" s="18">
        <v>44888</v>
      </c>
      <c r="G432" s="20">
        <v>3630</v>
      </c>
      <c r="H432" s="17" t="s">
        <v>112</v>
      </c>
      <c r="I432">
        <v>1.1000000000000001</v>
      </c>
    </row>
    <row r="433" spans="1:9" x14ac:dyDescent="0.25">
      <c r="A433" s="19">
        <v>193</v>
      </c>
      <c r="B433" s="17" t="s">
        <v>185</v>
      </c>
      <c r="C433" s="19">
        <v>19</v>
      </c>
      <c r="D433" s="17" t="s">
        <v>39</v>
      </c>
      <c r="E433" s="17" t="s">
        <v>34</v>
      </c>
      <c r="F433" s="18">
        <v>44849</v>
      </c>
      <c r="G433" s="20">
        <v>1352</v>
      </c>
      <c r="H433" s="17" t="s">
        <v>219</v>
      </c>
      <c r="I433">
        <v>3.4</v>
      </c>
    </row>
    <row r="434" spans="1:9" x14ac:dyDescent="0.25">
      <c r="A434" s="19">
        <v>258</v>
      </c>
      <c r="B434" s="17" t="s">
        <v>153</v>
      </c>
      <c r="C434" s="19">
        <v>28</v>
      </c>
      <c r="D434" s="17" t="s">
        <v>39</v>
      </c>
      <c r="E434" s="17" t="s">
        <v>124</v>
      </c>
      <c r="F434" s="18">
        <v>45223</v>
      </c>
      <c r="G434" s="20">
        <v>10553</v>
      </c>
      <c r="H434" s="17" t="s">
        <v>219</v>
      </c>
      <c r="I434">
        <v>2.9</v>
      </c>
    </row>
    <row r="435" spans="1:9" x14ac:dyDescent="0.25">
      <c r="A435" s="19">
        <v>495</v>
      </c>
      <c r="B435" s="17" t="s">
        <v>1168</v>
      </c>
      <c r="C435" s="19">
        <v>35</v>
      </c>
      <c r="D435" s="17" t="s">
        <v>59</v>
      </c>
      <c r="E435" s="17" t="s">
        <v>351</v>
      </c>
      <c r="F435" s="18">
        <v>44917</v>
      </c>
      <c r="G435" s="20">
        <v>7247</v>
      </c>
      <c r="H435" s="17" t="s">
        <v>112</v>
      </c>
      <c r="I435">
        <v>1.8</v>
      </c>
    </row>
    <row r="436" spans="1:9" x14ac:dyDescent="0.25">
      <c r="A436" s="19">
        <v>340</v>
      </c>
      <c r="B436" s="17" t="s">
        <v>1171</v>
      </c>
      <c r="C436" s="19">
        <v>57</v>
      </c>
      <c r="D436" s="17" t="s">
        <v>39</v>
      </c>
      <c r="E436" s="17" t="s">
        <v>34</v>
      </c>
      <c r="F436" s="18">
        <v>45673</v>
      </c>
      <c r="G436" s="20">
        <v>17547</v>
      </c>
      <c r="H436" s="17" t="s">
        <v>67</v>
      </c>
      <c r="I436">
        <v>4.3</v>
      </c>
    </row>
    <row r="437" spans="1:9" x14ac:dyDescent="0.25">
      <c r="A437" s="19">
        <v>68</v>
      </c>
      <c r="B437" s="17" t="s">
        <v>1174</v>
      </c>
      <c r="C437" s="19">
        <v>25</v>
      </c>
      <c r="D437" s="17" t="s">
        <v>59</v>
      </c>
      <c r="E437" s="17" t="s">
        <v>40</v>
      </c>
      <c r="F437" s="18">
        <v>45444</v>
      </c>
      <c r="G437" s="20">
        <v>11814</v>
      </c>
      <c r="H437" s="17" t="s">
        <v>75</v>
      </c>
      <c r="I437">
        <v>4.4000000000000004</v>
      </c>
    </row>
    <row r="438" spans="1:9" x14ac:dyDescent="0.25">
      <c r="A438" s="19">
        <v>196</v>
      </c>
      <c r="B438" s="17" t="s">
        <v>43</v>
      </c>
      <c r="C438" s="19">
        <v>23</v>
      </c>
      <c r="D438" s="17" t="s">
        <v>59</v>
      </c>
      <c r="E438" s="17" t="s">
        <v>81</v>
      </c>
      <c r="F438" s="18">
        <v>45402</v>
      </c>
      <c r="G438" s="20">
        <v>4773</v>
      </c>
      <c r="H438" s="17" t="s">
        <v>219</v>
      </c>
      <c r="I438">
        <v>4.7</v>
      </c>
    </row>
    <row r="439" spans="1:9" x14ac:dyDescent="0.25">
      <c r="A439" s="19">
        <v>344</v>
      </c>
      <c r="B439" s="17" t="s">
        <v>403</v>
      </c>
      <c r="C439" s="19">
        <v>46</v>
      </c>
      <c r="D439" s="17" t="s">
        <v>59</v>
      </c>
      <c r="E439" s="17" t="s">
        <v>351</v>
      </c>
      <c r="F439" s="18">
        <v>45119</v>
      </c>
      <c r="G439" s="20">
        <v>5442</v>
      </c>
      <c r="H439" s="17" t="s">
        <v>75</v>
      </c>
      <c r="I439">
        <v>2.1</v>
      </c>
    </row>
    <row r="440" spans="1:9" x14ac:dyDescent="0.25">
      <c r="A440" s="19">
        <v>138</v>
      </c>
      <c r="B440" s="17" t="s">
        <v>130</v>
      </c>
      <c r="C440" s="19">
        <v>56</v>
      </c>
      <c r="D440" s="17" t="s">
        <v>59</v>
      </c>
      <c r="E440" s="17" t="s">
        <v>124</v>
      </c>
      <c r="F440" s="18">
        <v>44972</v>
      </c>
      <c r="G440" s="20">
        <v>5224</v>
      </c>
      <c r="H440" s="17" t="s">
        <v>219</v>
      </c>
      <c r="I440">
        <v>3</v>
      </c>
    </row>
    <row r="441" spans="1:9" x14ac:dyDescent="0.25">
      <c r="A441" s="19">
        <v>261</v>
      </c>
      <c r="B441" s="17" t="s">
        <v>15</v>
      </c>
      <c r="C441" s="19">
        <v>55</v>
      </c>
      <c r="D441" s="17" t="s">
        <v>39</v>
      </c>
      <c r="E441" s="17" t="s">
        <v>81</v>
      </c>
      <c r="F441" s="18">
        <v>44788</v>
      </c>
      <c r="G441" s="20">
        <v>19362</v>
      </c>
      <c r="H441" s="17" t="s">
        <v>67</v>
      </c>
      <c r="I441">
        <v>4.9000000000000004</v>
      </c>
    </row>
    <row r="442" spans="1:9" x14ac:dyDescent="0.25">
      <c r="A442" s="19">
        <v>39</v>
      </c>
      <c r="B442" s="17" t="s">
        <v>9</v>
      </c>
      <c r="C442" s="19">
        <v>21</v>
      </c>
      <c r="D442" s="17" t="s">
        <v>59</v>
      </c>
      <c r="E442" s="17" t="s">
        <v>124</v>
      </c>
      <c r="F442" s="18">
        <v>44949</v>
      </c>
      <c r="G442" s="20">
        <v>6901</v>
      </c>
      <c r="H442" s="17" t="s">
        <v>75</v>
      </c>
      <c r="I442">
        <v>3.5</v>
      </c>
    </row>
    <row r="443" spans="1:9" x14ac:dyDescent="0.25">
      <c r="A443" s="19">
        <v>463</v>
      </c>
      <c r="B443" s="17" t="s">
        <v>1187</v>
      </c>
      <c r="C443" s="19">
        <v>27</v>
      </c>
      <c r="D443" s="17" t="s">
        <v>59</v>
      </c>
      <c r="E443" s="17" t="s">
        <v>124</v>
      </c>
      <c r="F443" s="18">
        <v>44940</v>
      </c>
      <c r="G443" s="20">
        <v>6459</v>
      </c>
      <c r="H443" s="17" t="s">
        <v>46</v>
      </c>
      <c r="I443">
        <v>2.8</v>
      </c>
    </row>
    <row r="444" spans="1:9" x14ac:dyDescent="0.25">
      <c r="A444" s="19">
        <v>202</v>
      </c>
      <c r="B444" s="17" t="s">
        <v>357</v>
      </c>
      <c r="C444" s="19">
        <v>41</v>
      </c>
      <c r="D444" s="17" t="s">
        <v>39</v>
      </c>
      <c r="E444" s="17" t="s">
        <v>40</v>
      </c>
      <c r="F444" s="18">
        <v>44969</v>
      </c>
      <c r="G444" s="20">
        <v>8117</v>
      </c>
      <c r="H444" s="17" t="s">
        <v>112</v>
      </c>
      <c r="I444">
        <v>4.5</v>
      </c>
    </row>
    <row r="445" spans="1:9" x14ac:dyDescent="0.25">
      <c r="A445" s="19">
        <v>481</v>
      </c>
      <c r="B445" s="17" t="s">
        <v>127</v>
      </c>
      <c r="C445" s="19">
        <v>21</v>
      </c>
      <c r="D445" s="17" t="s">
        <v>39</v>
      </c>
      <c r="E445" s="17" t="s">
        <v>81</v>
      </c>
      <c r="F445" s="18">
        <v>45707</v>
      </c>
      <c r="G445" s="20">
        <v>10889</v>
      </c>
      <c r="H445" s="17" t="s">
        <v>46</v>
      </c>
      <c r="I445">
        <v>3.8</v>
      </c>
    </row>
    <row r="446" spans="1:9" x14ac:dyDescent="0.25">
      <c r="A446" s="19">
        <v>291</v>
      </c>
      <c r="B446" s="17" t="s">
        <v>1193</v>
      </c>
      <c r="C446" s="19">
        <v>55</v>
      </c>
      <c r="D446" s="17" t="s">
        <v>59</v>
      </c>
      <c r="E446" s="17" t="s">
        <v>34</v>
      </c>
      <c r="F446" s="18">
        <v>45681</v>
      </c>
      <c r="G446" s="20">
        <v>2006</v>
      </c>
      <c r="H446" s="17" t="s">
        <v>26</v>
      </c>
      <c r="I446">
        <v>3.6</v>
      </c>
    </row>
    <row r="447" spans="1:9" x14ac:dyDescent="0.25">
      <c r="A447" s="19">
        <v>449</v>
      </c>
      <c r="B447" s="17" t="s">
        <v>98</v>
      </c>
      <c r="C447" s="19">
        <v>49</v>
      </c>
      <c r="D447" s="17" t="s">
        <v>59</v>
      </c>
      <c r="E447" s="17" t="s">
        <v>124</v>
      </c>
      <c r="F447" s="18">
        <v>45640</v>
      </c>
      <c r="G447" s="20">
        <v>10889</v>
      </c>
      <c r="H447" s="17" t="s">
        <v>67</v>
      </c>
      <c r="I447">
        <v>3.5</v>
      </c>
    </row>
    <row r="448" spans="1:9" x14ac:dyDescent="0.25">
      <c r="A448" s="19">
        <v>190</v>
      </c>
      <c r="B448" s="17" t="s">
        <v>1196</v>
      </c>
      <c r="C448" s="19">
        <v>50</v>
      </c>
      <c r="D448" s="17" t="s">
        <v>39</v>
      </c>
      <c r="E448" s="17" t="s">
        <v>81</v>
      </c>
      <c r="F448" s="18">
        <v>45022</v>
      </c>
      <c r="G448" s="20">
        <v>19858</v>
      </c>
      <c r="H448" s="17" t="s">
        <v>75</v>
      </c>
      <c r="I448">
        <v>4.2</v>
      </c>
    </row>
    <row r="449" spans="1:9" x14ac:dyDescent="0.25">
      <c r="A449" s="19">
        <v>252</v>
      </c>
      <c r="B449" s="17" t="s">
        <v>327</v>
      </c>
      <c r="C449" s="19">
        <v>33</v>
      </c>
      <c r="D449" s="17" t="s">
        <v>39</v>
      </c>
      <c r="E449" s="17" t="s">
        <v>81</v>
      </c>
      <c r="F449" s="18">
        <v>44993</v>
      </c>
      <c r="G449" s="20">
        <v>19077</v>
      </c>
      <c r="H449" s="17" t="s">
        <v>26</v>
      </c>
      <c r="I449">
        <v>4.8</v>
      </c>
    </row>
    <row r="450" spans="1:9" x14ac:dyDescent="0.25">
      <c r="A450" s="19">
        <v>113</v>
      </c>
      <c r="B450" s="17" t="s">
        <v>885</v>
      </c>
      <c r="C450" s="19">
        <v>52</v>
      </c>
      <c r="D450" s="17" t="s">
        <v>59</v>
      </c>
      <c r="E450" s="17" t="s">
        <v>124</v>
      </c>
      <c r="F450" s="18">
        <v>44996</v>
      </c>
      <c r="G450" s="20">
        <v>9437</v>
      </c>
      <c r="H450" s="17" t="s">
        <v>219</v>
      </c>
      <c r="I450">
        <v>2.6</v>
      </c>
    </row>
    <row r="451" spans="1:9" x14ac:dyDescent="0.25">
      <c r="A451" s="19">
        <v>438</v>
      </c>
      <c r="B451" s="17" t="s">
        <v>947</v>
      </c>
      <c r="C451" s="19">
        <v>27</v>
      </c>
      <c r="D451" s="17" t="s">
        <v>59</v>
      </c>
      <c r="E451" s="17" t="s">
        <v>106</v>
      </c>
      <c r="F451" s="18">
        <v>45440</v>
      </c>
      <c r="G451" s="20">
        <v>11402</v>
      </c>
      <c r="H451" s="17" t="s">
        <v>26</v>
      </c>
      <c r="I451">
        <v>4.9000000000000004</v>
      </c>
    </row>
    <row r="452" spans="1:9" x14ac:dyDescent="0.25">
      <c r="A452" s="19">
        <v>184</v>
      </c>
      <c r="B452" s="17" t="s">
        <v>770</v>
      </c>
      <c r="C452" s="19">
        <v>19</v>
      </c>
      <c r="D452" s="17" t="s">
        <v>39</v>
      </c>
      <c r="E452" s="17" t="s">
        <v>351</v>
      </c>
      <c r="F452" s="18">
        <v>44722</v>
      </c>
      <c r="G452" s="20">
        <v>17561</v>
      </c>
      <c r="H452" s="17" t="s">
        <v>67</v>
      </c>
      <c r="I452">
        <v>3.9</v>
      </c>
    </row>
    <row r="453" spans="1:9" x14ac:dyDescent="0.25">
      <c r="A453" s="19">
        <v>153</v>
      </c>
      <c r="B453" s="17" t="s">
        <v>813</v>
      </c>
      <c r="C453" s="19">
        <v>47</v>
      </c>
      <c r="D453" s="17" t="s">
        <v>39</v>
      </c>
      <c r="E453" s="17" t="s">
        <v>106</v>
      </c>
      <c r="F453" s="18">
        <v>45557</v>
      </c>
      <c r="G453" s="20">
        <v>504</v>
      </c>
      <c r="H453" s="17" t="s">
        <v>26</v>
      </c>
      <c r="I453">
        <v>4.7</v>
      </c>
    </row>
    <row r="454" spans="1:9" x14ac:dyDescent="0.25">
      <c r="A454" s="19">
        <v>313</v>
      </c>
      <c r="B454" s="17" t="s">
        <v>1209</v>
      </c>
      <c r="C454" s="19">
        <v>54</v>
      </c>
      <c r="D454" s="17" t="s">
        <v>39</v>
      </c>
      <c r="E454" s="17" t="s">
        <v>351</v>
      </c>
      <c r="F454" s="18">
        <v>44733</v>
      </c>
      <c r="G454" s="20">
        <v>6471</v>
      </c>
      <c r="H454" s="17" t="s">
        <v>219</v>
      </c>
      <c r="I454">
        <v>3.1</v>
      </c>
    </row>
    <row r="455" spans="1:9" x14ac:dyDescent="0.25">
      <c r="A455" s="19">
        <v>326</v>
      </c>
      <c r="B455" s="17" t="s">
        <v>403</v>
      </c>
      <c r="C455" s="19">
        <v>59</v>
      </c>
      <c r="D455" s="17" t="s">
        <v>59</v>
      </c>
      <c r="E455" s="17" t="s">
        <v>34</v>
      </c>
      <c r="F455" s="18">
        <v>45200</v>
      </c>
      <c r="G455" s="20">
        <v>10654</v>
      </c>
      <c r="H455" s="17" t="s">
        <v>112</v>
      </c>
      <c r="I455">
        <v>1.3</v>
      </c>
    </row>
    <row r="456" spans="1:9" x14ac:dyDescent="0.25">
      <c r="A456" s="19">
        <v>192</v>
      </c>
      <c r="B456" s="17" t="s">
        <v>1213</v>
      </c>
      <c r="C456" s="19">
        <v>36</v>
      </c>
      <c r="D456" s="17" t="s">
        <v>59</v>
      </c>
      <c r="E456" s="17" t="s">
        <v>34</v>
      </c>
      <c r="F456" s="18">
        <v>45291</v>
      </c>
      <c r="G456" s="20">
        <v>11570</v>
      </c>
      <c r="H456" s="17" t="s">
        <v>75</v>
      </c>
      <c r="I456">
        <v>2.1</v>
      </c>
    </row>
    <row r="457" spans="1:9" x14ac:dyDescent="0.25">
      <c r="A457" s="19">
        <v>45</v>
      </c>
      <c r="B457" s="17" t="s">
        <v>15</v>
      </c>
      <c r="C457" s="19">
        <v>37</v>
      </c>
      <c r="D457" s="17" t="s">
        <v>59</v>
      </c>
      <c r="E457" s="17" t="s">
        <v>81</v>
      </c>
      <c r="F457" s="18">
        <v>45280</v>
      </c>
      <c r="G457" s="20">
        <v>7156</v>
      </c>
      <c r="H457" s="17" t="s">
        <v>75</v>
      </c>
      <c r="I457">
        <v>2.7</v>
      </c>
    </row>
    <row r="458" spans="1:9" x14ac:dyDescent="0.25">
      <c r="A458" s="19">
        <v>445</v>
      </c>
      <c r="B458" s="17" t="s">
        <v>43</v>
      </c>
      <c r="C458" s="19">
        <v>41</v>
      </c>
      <c r="D458" s="17" t="s">
        <v>59</v>
      </c>
      <c r="E458" s="17" t="s">
        <v>40</v>
      </c>
      <c r="F458" s="18">
        <v>45175</v>
      </c>
      <c r="G458" s="20">
        <v>9546</v>
      </c>
      <c r="H458" s="17" t="s">
        <v>112</v>
      </c>
      <c r="I458">
        <v>3.5</v>
      </c>
    </row>
    <row r="459" spans="1:9" x14ac:dyDescent="0.25">
      <c r="A459" s="19">
        <v>276</v>
      </c>
      <c r="B459" s="17" t="s">
        <v>1220</v>
      </c>
      <c r="C459" s="19">
        <v>50</v>
      </c>
      <c r="D459" s="17" t="s">
        <v>59</v>
      </c>
      <c r="E459" s="17" t="s">
        <v>124</v>
      </c>
      <c r="F459" s="18">
        <v>45122</v>
      </c>
      <c r="G459" s="20">
        <v>6909</v>
      </c>
      <c r="H459" s="17" t="s">
        <v>67</v>
      </c>
      <c r="I459">
        <v>2.5</v>
      </c>
    </row>
    <row r="460" spans="1:9" x14ac:dyDescent="0.25">
      <c r="A460" s="19">
        <v>7</v>
      </c>
      <c r="B460" s="17" t="s">
        <v>813</v>
      </c>
      <c r="C460" s="19">
        <v>36</v>
      </c>
      <c r="D460" s="17" t="s">
        <v>39</v>
      </c>
      <c r="E460" s="17" t="s">
        <v>124</v>
      </c>
      <c r="F460" s="18">
        <v>45208</v>
      </c>
      <c r="G460" s="20">
        <v>13684</v>
      </c>
      <c r="H460" s="17" t="s">
        <v>67</v>
      </c>
      <c r="I460">
        <v>4.7</v>
      </c>
    </row>
    <row r="461" spans="1:9" x14ac:dyDescent="0.25">
      <c r="A461" s="19">
        <v>251</v>
      </c>
      <c r="B461" s="17" t="s">
        <v>429</v>
      </c>
      <c r="C461" s="19">
        <v>36</v>
      </c>
      <c r="D461" s="17" t="s">
        <v>39</v>
      </c>
      <c r="E461" s="17" t="s">
        <v>34</v>
      </c>
      <c r="F461" s="18">
        <v>44892</v>
      </c>
      <c r="G461" s="20">
        <v>18877</v>
      </c>
      <c r="H461" s="17" t="s">
        <v>75</v>
      </c>
      <c r="I461">
        <v>3.1</v>
      </c>
    </row>
    <row r="462" spans="1:9" x14ac:dyDescent="0.25">
      <c r="A462" s="19">
        <v>312</v>
      </c>
      <c r="B462" s="17" t="s">
        <v>1227</v>
      </c>
      <c r="C462" s="19">
        <v>58</v>
      </c>
      <c r="D462" s="17" t="s">
        <v>39</v>
      </c>
      <c r="E462" s="17" t="s">
        <v>106</v>
      </c>
      <c r="F462" s="18">
        <v>45508</v>
      </c>
      <c r="G462" s="20">
        <v>16716</v>
      </c>
      <c r="H462" s="17" t="s">
        <v>75</v>
      </c>
      <c r="I462">
        <v>1.9</v>
      </c>
    </row>
    <row r="463" spans="1:9" x14ac:dyDescent="0.25">
      <c r="A463" s="19">
        <v>76</v>
      </c>
      <c r="B463" s="17" t="s">
        <v>890</v>
      </c>
      <c r="C463" s="19">
        <v>43</v>
      </c>
      <c r="D463" s="17" t="s">
        <v>39</v>
      </c>
      <c r="E463" s="17" t="s">
        <v>40</v>
      </c>
      <c r="F463" s="18">
        <v>45637</v>
      </c>
      <c r="G463" s="20">
        <v>6630</v>
      </c>
      <c r="H463" s="17" t="s">
        <v>67</v>
      </c>
      <c r="I463">
        <v>3.9</v>
      </c>
    </row>
    <row r="464" spans="1:9" x14ac:dyDescent="0.25">
      <c r="A464" s="19">
        <v>1</v>
      </c>
      <c r="B464" s="17" t="s">
        <v>471</v>
      </c>
      <c r="C464" s="19">
        <v>56</v>
      </c>
      <c r="D464" s="17" t="s">
        <v>59</v>
      </c>
      <c r="E464" s="17" t="s">
        <v>124</v>
      </c>
      <c r="F464" s="18">
        <v>44826</v>
      </c>
      <c r="G464" s="20">
        <v>12143</v>
      </c>
      <c r="H464" s="17" t="s">
        <v>67</v>
      </c>
      <c r="I464">
        <v>1.6</v>
      </c>
    </row>
    <row r="465" spans="1:9" x14ac:dyDescent="0.25">
      <c r="A465" s="19">
        <v>429</v>
      </c>
      <c r="B465" s="17" t="s">
        <v>414</v>
      </c>
      <c r="C465" s="19">
        <v>50</v>
      </c>
      <c r="D465" s="17" t="s">
        <v>59</v>
      </c>
      <c r="E465" s="17" t="s">
        <v>34</v>
      </c>
      <c r="F465" s="18">
        <v>45535</v>
      </c>
      <c r="G465" s="20">
        <v>9284</v>
      </c>
      <c r="H465" s="17" t="s">
        <v>46</v>
      </c>
      <c r="I465">
        <v>2.6</v>
      </c>
    </row>
    <row r="466" spans="1:9" x14ac:dyDescent="0.25">
      <c r="A466" s="19">
        <v>392</v>
      </c>
      <c r="B466" s="17" t="s">
        <v>127</v>
      </c>
      <c r="C466" s="19">
        <v>43</v>
      </c>
      <c r="D466" s="17" t="s">
        <v>59</v>
      </c>
      <c r="E466" s="17" t="s">
        <v>34</v>
      </c>
      <c r="F466" s="18">
        <v>45534</v>
      </c>
      <c r="G466" s="20">
        <v>3590</v>
      </c>
      <c r="H466" s="17" t="s">
        <v>75</v>
      </c>
      <c r="I466">
        <v>2.4</v>
      </c>
    </row>
    <row r="467" spans="1:9" x14ac:dyDescent="0.25">
      <c r="A467" s="19">
        <v>384</v>
      </c>
      <c r="B467" s="17" t="s">
        <v>1066</v>
      </c>
      <c r="C467" s="19">
        <v>33</v>
      </c>
      <c r="D467" s="17" t="s">
        <v>59</v>
      </c>
      <c r="E467" s="17" t="s">
        <v>106</v>
      </c>
      <c r="F467" s="18">
        <v>45360</v>
      </c>
      <c r="G467" s="20">
        <v>1719</v>
      </c>
      <c r="H467" s="17" t="s">
        <v>67</v>
      </c>
      <c r="I467">
        <v>1.4</v>
      </c>
    </row>
    <row r="468" spans="1:9" x14ac:dyDescent="0.25">
      <c r="A468" s="19">
        <v>433</v>
      </c>
      <c r="B468" s="17" t="s">
        <v>337</v>
      </c>
      <c r="C468" s="19">
        <v>27</v>
      </c>
      <c r="D468" s="17" t="s">
        <v>59</v>
      </c>
      <c r="E468" s="17" t="s">
        <v>106</v>
      </c>
      <c r="F468" s="18">
        <v>45070</v>
      </c>
      <c r="G468" s="20">
        <v>11346</v>
      </c>
      <c r="H468" s="17" t="s">
        <v>26</v>
      </c>
      <c r="I468">
        <v>1.1000000000000001</v>
      </c>
    </row>
    <row r="469" spans="1:9" x14ac:dyDescent="0.25">
      <c r="A469" s="19">
        <v>69</v>
      </c>
      <c r="B469" s="17" t="s">
        <v>466</v>
      </c>
      <c r="C469" s="19">
        <v>31</v>
      </c>
      <c r="D469" s="17" t="s">
        <v>59</v>
      </c>
      <c r="E469" s="17" t="s">
        <v>40</v>
      </c>
      <c r="F469" s="18">
        <v>44784</v>
      </c>
      <c r="G469" s="20">
        <v>4848</v>
      </c>
      <c r="H469" s="17" t="s">
        <v>46</v>
      </c>
      <c r="I469">
        <v>4.8</v>
      </c>
    </row>
    <row r="470" spans="1:9" x14ac:dyDescent="0.25">
      <c r="A470" s="19">
        <v>487</v>
      </c>
      <c r="B470" s="17" t="s">
        <v>385</v>
      </c>
      <c r="C470" s="19">
        <v>53</v>
      </c>
      <c r="D470" s="17" t="s">
        <v>39</v>
      </c>
      <c r="E470" s="17" t="s">
        <v>124</v>
      </c>
      <c r="F470" s="18">
        <v>45447</v>
      </c>
      <c r="G470" s="20">
        <v>2543</v>
      </c>
      <c r="H470" s="17" t="s">
        <v>75</v>
      </c>
      <c r="I470">
        <v>2.4</v>
      </c>
    </row>
    <row r="471" spans="1:9" x14ac:dyDescent="0.25">
      <c r="A471" s="19">
        <v>168</v>
      </c>
      <c r="B471" s="17" t="s">
        <v>1245</v>
      </c>
      <c r="C471" s="19">
        <v>26</v>
      </c>
      <c r="D471" s="17" t="s">
        <v>59</v>
      </c>
      <c r="E471" s="17" t="s">
        <v>351</v>
      </c>
      <c r="F471" s="18">
        <v>45097</v>
      </c>
      <c r="G471" s="20">
        <v>2148</v>
      </c>
      <c r="H471" s="17" t="s">
        <v>219</v>
      </c>
      <c r="I471">
        <v>3.3</v>
      </c>
    </row>
    <row r="472" spans="1:9" x14ac:dyDescent="0.25">
      <c r="A472" s="19">
        <v>393</v>
      </c>
      <c r="B472" s="17" t="s">
        <v>1248</v>
      </c>
      <c r="C472" s="19">
        <v>54</v>
      </c>
      <c r="D472" s="17" t="s">
        <v>39</v>
      </c>
      <c r="E472" s="17" t="s">
        <v>106</v>
      </c>
      <c r="F472" s="18">
        <v>45042</v>
      </c>
      <c r="G472" s="20">
        <v>9410</v>
      </c>
      <c r="H472" s="17" t="s">
        <v>26</v>
      </c>
      <c r="I472">
        <v>3.5</v>
      </c>
    </row>
    <row r="473" spans="1:9" x14ac:dyDescent="0.25">
      <c r="A473" s="19">
        <v>219</v>
      </c>
      <c r="B473" s="17" t="s">
        <v>233</v>
      </c>
      <c r="C473" s="19">
        <v>20</v>
      </c>
      <c r="D473" s="17" t="s">
        <v>39</v>
      </c>
      <c r="E473" s="17" t="s">
        <v>124</v>
      </c>
      <c r="F473" s="18">
        <v>44914</v>
      </c>
      <c r="G473" s="20">
        <v>14488</v>
      </c>
      <c r="H473" s="17" t="s">
        <v>219</v>
      </c>
      <c r="I473">
        <v>1.1000000000000001</v>
      </c>
    </row>
    <row r="474" spans="1:9" x14ac:dyDescent="0.25">
      <c r="A474" s="19">
        <v>43</v>
      </c>
      <c r="B474" s="17" t="s">
        <v>289</v>
      </c>
      <c r="C474" s="19">
        <v>43</v>
      </c>
      <c r="D474" s="17" t="s">
        <v>39</v>
      </c>
      <c r="E474" s="17" t="s">
        <v>106</v>
      </c>
      <c r="F474" s="18">
        <v>45680</v>
      </c>
      <c r="G474" s="20">
        <v>17437</v>
      </c>
      <c r="H474" s="17" t="s">
        <v>219</v>
      </c>
      <c r="I474">
        <v>4.8</v>
      </c>
    </row>
    <row r="475" spans="1:9" x14ac:dyDescent="0.25">
      <c r="A475" s="19">
        <v>367</v>
      </c>
      <c r="B475" s="17" t="s">
        <v>220</v>
      </c>
      <c r="C475" s="19">
        <v>42</v>
      </c>
      <c r="D475" s="17" t="s">
        <v>59</v>
      </c>
      <c r="E475" s="17" t="s">
        <v>106</v>
      </c>
      <c r="F475" s="18">
        <v>45168</v>
      </c>
      <c r="G475" s="20">
        <v>6333</v>
      </c>
      <c r="H475" s="17" t="s">
        <v>67</v>
      </c>
      <c r="I475">
        <v>3</v>
      </c>
    </row>
    <row r="476" spans="1:9" x14ac:dyDescent="0.25">
      <c r="A476" s="19">
        <v>346</v>
      </c>
      <c r="B476" s="17" t="s">
        <v>1015</v>
      </c>
      <c r="C476" s="19">
        <v>43</v>
      </c>
      <c r="D476" s="17" t="s">
        <v>39</v>
      </c>
      <c r="E476" s="17" t="s">
        <v>106</v>
      </c>
      <c r="F476" s="18">
        <v>45499</v>
      </c>
      <c r="G476" s="20">
        <v>8759</v>
      </c>
      <c r="H476" s="17" t="s">
        <v>46</v>
      </c>
      <c r="I476">
        <v>4.2</v>
      </c>
    </row>
    <row r="477" spans="1:9" x14ac:dyDescent="0.25">
      <c r="A477" s="19">
        <v>73</v>
      </c>
      <c r="B477" s="17" t="s">
        <v>389</v>
      </c>
      <c r="C477" s="19">
        <v>33</v>
      </c>
      <c r="D477" s="17" t="s">
        <v>39</v>
      </c>
      <c r="E477" s="17" t="s">
        <v>40</v>
      </c>
      <c r="F477" s="18">
        <v>44712</v>
      </c>
      <c r="G477" s="20">
        <v>9676</v>
      </c>
      <c r="H477" s="17" t="s">
        <v>75</v>
      </c>
      <c r="I477">
        <v>2.6</v>
      </c>
    </row>
    <row r="478" spans="1:9" x14ac:dyDescent="0.25">
      <c r="A478" s="19">
        <v>24</v>
      </c>
      <c r="B478" s="17" t="s">
        <v>1260</v>
      </c>
      <c r="C478" s="19">
        <v>29</v>
      </c>
      <c r="D478" s="17" t="s">
        <v>39</v>
      </c>
      <c r="E478" s="17" t="s">
        <v>351</v>
      </c>
      <c r="F478" s="18">
        <v>45066</v>
      </c>
      <c r="G478" s="20">
        <v>19266</v>
      </c>
      <c r="H478" s="17" t="s">
        <v>67</v>
      </c>
      <c r="I478">
        <v>3</v>
      </c>
    </row>
    <row r="479" spans="1:9" x14ac:dyDescent="0.25">
      <c r="A479" s="19">
        <v>399</v>
      </c>
      <c r="B479" s="17" t="s">
        <v>623</v>
      </c>
      <c r="C479" s="19">
        <v>18</v>
      </c>
      <c r="D479" s="17" t="s">
        <v>59</v>
      </c>
      <c r="E479" s="17" t="s">
        <v>34</v>
      </c>
      <c r="F479" s="18">
        <v>45289</v>
      </c>
      <c r="G479" s="20">
        <v>2008</v>
      </c>
      <c r="H479" s="17" t="s">
        <v>75</v>
      </c>
      <c r="I479">
        <v>1.5</v>
      </c>
    </row>
    <row r="480" spans="1:9" x14ac:dyDescent="0.25">
      <c r="A480" s="19">
        <v>186</v>
      </c>
      <c r="B480" s="17" t="s">
        <v>76</v>
      </c>
      <c r="C480" s="19">
        <v>45</v>
      </c>
      <c r="D480" s="17" t="s">
        <v>39</v>
      </c>
      <c r="E480" s="17" t="s">
        <v>81</v>
      </c>
      <c r="F480" s="18">
        <v>44927</v>
      </c>
      <c r="G480" s="20">
        <v>8680</v>
      </c>
      <c r="H480" s="17" t="s">
        <v>75</v>
      </c>
      <c r="I480">
        <v>3.8</v>
      </c>
    </row>
    <row r="481" spans="1:9" x14ac:dyDescent="0.25">
      <c r="A481" s="19">
        <v>349</v>
      </c>
      <c r="B481" s="17" t="s">
        <v>277</v>
      </c>
      <c r="C481" s="19">
        <v>41</v>
      </c>
      <c r="D481" s="17" t="s">
        <v>59</v>
      </c>
      <c r="E481" s="17" t="s">
        <v>106</v>
      </c>
      <c r="F481" s="18">
        <v>45673</v>
      </c>
      <c r="G481" s="20">
        <v>217</v>
      </c>
      <c r="H481" s="17" t="s">
        <v>67</v>
      </c>
      <c r="I481">
        <v>4.5</v>
      </c>
    </row>
    <row r="482" spans="1:9" x14ac:dyDescent="0.25">
      <c r="A482" s="19">
        <v>104</v>
      </c>
      <c r="B482" s="17" t="s">
        <v>872</v>
      </c>
      <c r="C482" s="19">
        <v>51</v>
      </c>
      <c r="D482" s="17" t="s">
        <v>39</v>
      </c>
      <c r="E482" s="17" t="s">
        <v>81</v>
      </c>
      <c r="F482" s="18">
        <v>44982</v>
      </c>
      <c r="G482" s="20">
        <v>3430</v>
      </c>
      <c r="H482" s="17" t="s">
        <v>112</v>
      </c>
      <c r="I482">
        <v>2.7</v>
      </c>
    </row>
    <row r="483" spans="1:9" x14ac:dyDescent="0.25">
      <c r="A483" s="19">
        <v>212</v>
      </c>
      <c r="B483" s="17" t="s">
        <v>570</v>
      </c>
      <c r="C483" s="19">
        <v>33</v>
      </c>
      <c r="D483" s="17" t="s">
        <v>39</v>
      </c>
      <c r="E483" s="17" t="s">
        <v>81</v>
      </c>
      <c r="F483" s="18">
        <v>44895</v>
      </c>
      <c r="G483" s="20">
        <v>4992</v>
      </c>
      <c r="H483" s="17" t="s">
        <v>75</v>
      </c>
      <c r="I483">
        <v>4.8</v>
      </c>
    </row>
    <row r="484" spans="1:9" x14ac:dyDescent="0.25">
      <c r="A484" s="19">
        <v>197</v>
      </c>
      <c r="B484" s="17" t="s">
        <v>166</v>
      </c>
      <c r="C484" s="19">
        <v>49</v>
      </c>
      <c r="D484" s="17" t="s">
        <v>39</v>
      </c>
      <c r="E484" s="17" t="s">
        <v>34</v>
      </c>
      <c r="F484" s="18">
        <v>45688</v>
      </c>
      <c r="G484" s="20">
        <v>15881</v>
      </c>
      <c r="H484" s="17" t="s">
        <v>46</v>
      </c>
      <c r="I484">
        <v>1.5</v>
      </c>
    </row>
    <row r="485" spans="1:9" x14ac:dyDescent="0.25">
      <c r="A485" s="19">
        <v>176</v>
      </c>
      <c r="B485" s="17" t="s">
        <v>334</v>
      </c>
      <c r="C485" s="19">
        <v>41</v>
      </c>
      <c r="D485" s="17" t="s">
        <v>59</v>
      </c>
      <c r="E485" s="17" t="s">
        <v>106</v>
      </c>
      <c r="F485" s="18">
        <v>45553</v>
      </c>
      <c r="G485" s="20">
        <v>14530</v>
      </c>
      <c r="H485" s="17" t="s">
        <v>75</v>
      </c>
      <c r="I485">
        <v>3.4</v>
      </c>
    </row>
  </sheetData>
  <mergeCells count="1">
    <mergeCell ref="J4:R4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15"/>
  <sheetViews>
    <sheetView showGridLines="0" zoomScaleNormal="100" workbookViewId="0">
      <selection activeCell="B2" sqref="B2"/>
    </sheetView>
  </sheetViews>
  <sheetFormatPr baseColWidth="10" defaultColWidth="8.7109375" defaultRowHeight="15" x14ac:dyDescent="0.25"/>
  <cols>
    <col min="1" max="1" width="4" customWidth="1"/>
    <col min="2" max="2" width="55" customWidth="1"/>
    <col min="3" max="3" width="33.5703125" bestFit="1" customWidth="1"/>
    <col min="4" max="4" width="42" customWidth="1"/>
    <col min="6" max="6" width="17.5703125" bestFit="1" customWidth="1"/>
    <col min="7" max="7" width="29.42578125" bestFit="1" customWidth="1"/>
  </cols>
  <sheetData>
    <row r="2" spans="2:4" ht="20.25" x14ac:dyDescent="0.3">
      <c r="B2" s="1" t="s">
        <v>1363</v>
      </c>
    </row>
    <row r="3" spans="2:4" x14ac:dyDescent="0.25">
      <c r="B3" s="2"/>
    </row>
    <row r="5" spans="2:4" x14ac:dyDescent="0.25">
      <c r="B5" s="5" t="s">
        <v>1280</v>
      </c>
      <c r="C5" s="5" t="s">
        <v>1362</v>
      </c>
    </row>
    <row r="6" spans="2:4" ht="31.5" customHeight="1" x14ac:dyDescent="0.25">
      <c r="B6" s="6" t="s">
        <v>1281</v>
      </c>
      <c r="C6" s="29" t="s">
        <v>1303</v>
      </c>
    </row>
    <row r="7" spans="2:4" ht="31.5" customHeight="1" x14ac:dyDescent="0.25">
      <c r="B7" s="6" t="s">
        <v>1282</v>
      </c>
      <c r="C7" s="21">
        <f>SUM(Tabla1_1[Purchase_Amount])</f>
        <v>4786627</v>
      </c>
    </row>
    <row r="8" spans="2:4" ht="90" x14ac:dyDescent="0.25">
      <c r="B8" s="25" t="s">
        <v>1283</v>
      </c>
      <c r="C8" s="24" t="s">
        <v>1361</v>
      </c>
    </row>
    <row r="9" spans="2:4" ht="90" x14ac:dyDescent="0.25">
      <c r="B9" s="6" t="s">
        <v>1284</v>
      </c>
      <c r="C9" s="24" t="s">
        <v>1295</v>
      </c>
    </row>
    <row r="10" spans="2:4" ht="31.5" customHeight="1" x14ac:dyDescent="0.25">
      <c r="B10" s="6" t="s">
        <v>1285</v>
      </c>
      <c r="C10" s="7" t="s">
        <v>1296</v>
      </c>
    </row>
    <row r="11" spans="2:4" ht="90" x14ac:dyDescent="0.25">
      <c r="B11" s="6" t="s">
        <v>1286</v>
      </c>
      <c r="C11" s="24" t="s">
        <v>1298</v>
      </c>
    </row>
    <row r="12" spans="2:4" ht="31.5" customHeight="1" x14ac:dyDescent="0.25">
      <c r="B12" s="6" t="s">
        <v>1287</v>
      </c>
      <c r="C12" s="24" t="s">
        <v>1299</v>
      </c>
    </row>
    <row r="13" spans="2:4" ht="31.5" customHeight="1" x14ac:dyDescent="0.25">
      <c r="B13" s="6" t="s">
        <v>1288</v>
      </c>
      <c r="C13" s="7">
        <f>AVERAGEIF(Tabla1_1[Product_Category],"Electronics",Tabla1_1[Age])</f>
        <v>40.24</v>
      </c>
    </row>
    <row r="14" spans="2:4" ht="31.5" customHeight="1" x14ac:dyDescent="0.25">
      <c r="B14" s="6" t="s">
        <v>1289</v>
      </c>
      <c r="C14" s="7" t="s">
        <v>1300</v>
      </c>
    </row>
    <row r="15" spans="2:4" ht="31.5" customHeight="1" x14ac:dyDescent="0.25">
      <c r="B15" s="6" t="s">
        <v>1290</v>
      </c>
      <c r="C15" s="28" cm="1">
        <f t="array" ref="C15:D15">VLOOKUP(250,Tabla1_1[],{7,8},FALSE)</f>
        <v>17007</v>
      </c>
      <c r="D15" t="str">
        <v>Books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5C7C6-F59A-4F07-81AE-19F8649B816D}">
  <dimension ref="A1:K57"/>
  <sheetViews>
    <sheetView topLeftCell="A7" workbookViewId="0">
      <selection activeCell="J16" sqref="J16"/>
    </sheetView>
  </sheetViews>
  <sheetFormatPr baseColWidth="10" defaultRowHeight="15" x14ac:dyDescent="0.25"/>
  <cols>
    <col min="1" max="1" width="12.5703125" bestFit="1" customWidth="1"/>
    <col min="2" max="2" width="16.42578125" bestFit="1" customWidth="1"/>
    <col min="4" max="4" width="12.5703125" bestFit="1" customWidth="1"/>
    <col min="5" max="5" width="25.42578125" bestFit="1" customWidth="1"/>
    <col min="7" max="7" width="19.140625" bestFit="1" customWidth="1"/>
    <col min="8" max="8" width="25.42578125" bestFit="1" customWidth="1"/>
    <col min="10" max="10" width="19.140625" bestFit="1" customWidth="1"/>
    <col min="11" max="11" width="18.5703125" bestFit="1" customWidth="1"/>
  </cols>
  <sheetData>
    <row r="1" spans="1:11" x14ac:dyDescent="0.25">
      <c r="A1" s="53" t="s">
        <v>1304</v>
      </c>
      <c r="B1" s="53"/>
      <c r="D1" s="53" t="s">
        <v>1305</v>
      </c>
      <c r="E1" s="53"/>
      <c r="G1" s="53" t="s">
        <v>1306</v>
      </c>
      <c r="H1" s="53"/>
      <c r="J1" s="53" t="s">
        <v>1307</v>
      </c>
      <c r="K1" s="53"/>
    </row>
    <row r="3" spans="1:11" x14ac:dyDescent="0.25">
      <c r="A3" s="22" t="s">
        <v>4</v>
      </c>
      <c r="B3" t="s">
        <v>1301</v>
      </c>
      <c r="D3" s="22" t="s">
        <v>4</v>
      </c>
      <c r="E3" t="s">
        <v>1294</v>
      </c>
      <c r="G3" s="22" t="s">
        <v>7</v>
      </c>
      <c r="H3" t="s">
        <v>1293</v>
      </c>
      <c r="J3" s="22" t="s">
        <v>7</v>
      </c>
      <c r="K3" t="s">
        <v>1297</v>
      </c>
    </row>
    <row r="4" spans="1:11" x14ac:dyDescent="0.25">
      <c r="A4" s="23" t="s">
        <v>106</v>
      </c>
      <c r="B4" s="17">
        <v>89</v>
      </c>
      <c r="D4" s="23" t="s">
        <v>81</v>
      </c>
      <c r="E4" s="26">
        <v>10194.421052631578</v>
      </c>
      <c r="G4" s="23" t="s">
        <v>46</v>
      </c>
      <c r="H4" s="20">
        <v>955529</v>
      </c>
      <c r="J4" s="23" t="s">
        <v>26</v>
      </c>
      <c r="K4" s="27">
        <v>3.0710526315789477</v>
      </c>
    </row>
    <row r="5" spans="1:11" x14ac:dyDescent="0.25">
      <c r="A5" s="23" t="s">
        <v>34</v>
      </c>
      <c r="B5" s="17">
        <v>85</v>
      </c>
      <c r="D5" s="23" t="s">
        <v>40</v>
      </c>
      <c r="E5" s="26">
        <v>9361.8333333333339</v>
      </c>
      <c r="G5" s="23" t="s">
        <v>67</v>
      </c>
      <c r="H5" s="20">
        <v>889121</v>
      </c>
      <c r="J5" s="23" t="s">
        <v>46</v>
      </c>
      <c r="K5" s="27">
        <v>2.837634408602149</v>
      </c>
    </row>
    <row r="6" spans="1:11" x14ac:dyDescent="0.25">
      <c r="A6" s="23" t="s">
        <v>40</v>
      </c>
      <c r="B6" s="17">
        <v>84</v>
      </c>
      <c r="D6" s="23" t="s">
        <v>124</v>
      </c>
      <c r="E6" s="26">
        <v>9702.7066666666669</v>
      </c>
      <c r="G6" s="23" t="s">
        <v>26</v>
      </c>
      <c r="H6" s="20">
        <v>843339</v>
      </c>
      <c r="J6" s="23" t="s">
        <v>219</v>
      </c>
      <c r="K6" s="27">
        <v>2.8040000000000007</v>
      </c>
    </row>
    <row r="7" spans="1:11" x14ac:dyDescent="0.25">
      <c r="A7" s="23" t="s">
        <v>81</v>
      </c>
      <c r="B7" s="17">
        <v>76</v>
      </c>
      <c r="D7" s="23" t="s">
        <v>351</v>
      </c>
      <c r="E7" s="26">
        <v>9673.68</v>
      </c>
      <c r="G7" s="23" t="s">
        <v>75</v>
      </c>
      <c r="H7" s="20">
        <v>815076</v>
      </c>
      <c r="J7" s="23" t="s">
        <v>67</v>
      </c>
      <c r="K7" s="27">
        <v>3.2105882352941175</v>
      </c>
    </row>
    <row r="8" spans="1:11" x14ac:dyDescent="0.25">
      <c r="A8" s="23" t="s">
        <v>351</v>
      </c>
      <c r="B8" s="17">
        <v>75</v>
      </c>
      <c r="D8" s="23" t="s">
        <v>106</v>
      </c>
      <c r="E8" s="26">
        <v>10133.483146067416</v>
      </c>
      <c r="G8" s="23" t="s">
        <v>219</v>
      </c>
      <c r="H8" s="20">
        <v>694460</v>
      </c>
      <c r="J8" s="23" t="s">
        <v>112</v>
      </c>
      <c r="K8" s="27">
        <v>2.9230769230769225</v>
      </c>
    </row>
    <row r="9" spans="1:11" x14ac:dyDescent="0.25">
      <c r="A9" s="23" t="s">
        <v>124</v>
      </c>
      <c r="B9" s="17">
        <v>75</v>
      </c>
      <c r="D9" s="23" t="s">
        <v>34</v>
      </c>
      <c r="E9" s="26">
        <v>10239.388235294118</v>
      </c>
      <c r="G9" s="23" t="s">
        <v>112</v>
      </c>
      <c r="H9" s="20">
        <v>589102</v>
      </c>
      <c r="J9" s="23" t="s">
        <v>75</v>
      </c>
      <c r="K9" s="27">
        <v>2.9300000000000006</v>
      </c>
    </row>
    <row r="10" spans="1:11" x14ac:dyDescent="0.25">
      <c r="A10" s="23" t="s">
        <v>1292</v>
      </c>
      <c r="B10" s="17">
        <v>484</v>
      </c>
      <c r="D10" s="23" t="s">
        <v>1292</v>
      </c>
      <c r="E10" s="26">
        <v>9889.7252066115707</v>
      </c>
      <c r="G10" s="23" t="s">
        <v>1292</v>
      </c>
      <c r="H10" s="20">
        <v>4786627</v>
      </c>
      <c r="J10" s="23" t="s">
        <v>1292</v>
      </c>
      <c r="K10" s="27">
        <v>2.9632231404958702</v>
      </c>
    </row>
    <row r="13" spans="1:11" x14ac:dyDescent="0.25">
      <c r="A13" s="53" t="s">
        <v>1308</v>
      </c>
      <c r="B13" s="53"/>
      <c r="D13" s="53" t="s">
        <v>1327</v>
      </c>
      <c r="E13" s="53"/>
      <c r="G13" s="53" t="s">
        <v>1326</v>
      </c>
      <c r="H13" s="54"/>
    </row>
    <row r="15" spans="1:11" x14ac:dyDescent="0.25">
      <c r="A15" s="22" t="s">
        <v>3</v>
      </c>
      <c r="B15" t="s">
        <v>1302</v>
      </c>
      <c r="D15" s="22" t="s">
        <v>4</v>
      </c>
      <c r="E15" t="s">
        <v>1293</v>
      </c>
      <c r="G15" s="22" t="s">
        <v>1309</v>
      </c>
      <c r="H15" t="s">
        <v>1293</v>
      </c>
    </row>
    <row r="16" spans="1:11" x14ac:dyDescent="0.25">
      <c r="A16" s="23" t="s">
        <v>39</v>
      </c>
      <c r="B16" s="17">
        <v>242</v>
      </c>
      <c r="D16" s="23" t="s">
        <v>81</v>
      </c>
      <c r="E16" s="20">
        <v>774776</v>
      </c>
      <c r="G16" s="23" t="s">
        <v>1310</v>
      </c>
      <c r="H16" s="20"/>
    </row>
    <row r="17" spans="1:8" x14ac:dyDescent="0.25">
      <c r="A17" s="23" t="s">
        <v>59</v>
      </c>
      <c r="B17" s="17">
        <v>242</v>
      </c>
      <c r="D17" s="23" t="s">
        <v>40</v>
      </c>
      <c r="E17" s="20">
        <v>786394</v>
      </c>
      <c r="G17" s="31" t="s">
        <v>1318</v>
      </c>
      <c r="H17" s="20">
        <v>58409</v>
      </c>
    </row>
    <row r="18" spans="1:8" x14ac:dyDescent="0.25">
      <c r="A18" s="23" t="s">
        <v>1292</v>
      </c>
      <c r="B18" s="17">
        <v>484</v>
      </c>
      <c r="D18" s="23" t="s">
        <v>124</v>
      </c>
      <c r="E18" s="20">
        <v>727703</v>
      </c>
      <c r="G18" s="31" t="s">
        <v>1319</v>
      </c>
      <c r="H18" s="20">
        <v>136181</v>
      </c>
    </row>
    <row r="19" spans="1:8" x14ac:dyDescent="0.25">
      <c r="D19" s="23" t="s">
        <v>351</v>
      </c>
      <c r="E19" s="20">
        <v>725526</v>
      </c>
      <c r="G19" s="31" t="s">
        <v>1320</v>
      </c>
      <c r="H19" s="20">
        <v>162399</v>
      </c>
    </row>
    <row r="20" spans="1:8" x14ac:dyDescent="0.25">
      <c r="D20" s="23" t="s">
        <v>106</v>
      </c>
      <c r="E20" s="20">
        <v>901880</v>
      </c>
      <c r="G20" s="31" t="s">
        <v>1321</v>
      </c>
      <c r="H20" s="20">
        <v>221028</v>
      </c>
    </row>
    <row r="21" spans="1:8" x14ac:dyDescent="0.25">
      <c r="D21" s="23" t="s">
        <v>34</v>
      </c>
      <c r="E21" s="20">
        <v>870348</v>
      </c>
      <c r="G21" s="31" t="s">
        <v>1322</v>
      </c>
      <c r="H21" s="20">
        <v>103264</v>
      </c>
    </row>
    <row r="22" spans="1:8" x14ac:dyDescent="0.25">
      <c r="D22" s="23" t="s">
        <v>1292</v>
      </c>
      <c r="E22" s="20">
        <v>4786627</v>
      </c>
      <c r="G22" s="31" t="s">
        <v>1323</v>
      </c>
      <c r="H22" s="20">
        <v>119071</v>
      </c>
    </row>
    <row r="23" spans="1:8" x14ac:dyDescent="0.25">
      <c r="G23" s="31" t="s">
        <v>1324</v>
      </c>
      <c r="H23" s="20">
        <v>228794</v>
      </c>
    </row>
    <row r="24" spans="1:8" x14ac:dyDescent="0.25">
      <c r="G24" s="31" t="s">
        <v>1325</v>
      </c>
      <c r="H24" s="20">
        <v>95775</v>
      </c>
    </row>
    <row r="25" spans="1:8" x14ac:dyDescent="0.25">
      <c r="G25" s="23" t="s">
        <v>1311</v>
      </c>
      <c r="H25" s="20"/>
    </row>
    <row r="26" spans="1:8" x14ac:dyDescent="0.25">
      <c r="G26" s="31" t="s">
        <v>1314</v>
      </c>
      <c r="H26" s="20">
        <v>167196</v>
      </c>
    </row>
    <row r="27" spans="1:8" x14ac:dyDescent="0.25">
      <c r="G27" s="31" t="s">
        <v>1315</v>
      </c>
      <c r="H27" s="20">
        <v>93298</v>
      </c>
    </row>
    <row r="28" spans="1:8" x14ac:dyDescent="0.25">
      <c r="G28" s="31" t="s">
        <v>1316</v>
      </c>
      <c r="H28" s="20">
        <v>114123</v>
      </c>
    </row>
    <row r="29" spans="1:8" x14ac:dyDescent="0.25">
      <c r="G29" s="31" t="s">
        <v>1317</v>
      </c>
      <c r="H29" s="20">
        <v>140912</v>
      </c>
    </row>
    <row r="30" spans="1:8" x14ac:dyDescent="0.25">
      <c r="G30" s="31" t="s">
        <v>1318</v>
      </c>
      <c r="H30" s="20">
        <v>109714</v>
      </c>
    </row>
    <row r="31" spans="1:8" x14ac:dyDescent="0.25">
      <c r="G31" s="31" t="s">
        <v>1319</v>
      </c>
      <c r="H31" s="20">
        <v>100646</v>
      </c>
    </row>
    <row r="32" spans="1:8" x14ac:dyDescent="0.25">
      <c r="G32" s="31" t="s">
        <v>1320</v>
      </c>
      <c r="H32" s="20">
        <v>121438</v>
      </c>
    </row>
    <row r="33" spans="7:8" x14ac:dyDescent="0.25">
      <c r="G33" s="31" t="s">
        <v>1321</v>
      </c>
      <c r="H33" s="20">
        <v>165309</v>
      </c>
    </row>
    <row r="34" spans="7:8" x14ac:dyDescent="0.25">
      <c r="G34" s="31" t="s">
        <v>1322</v>
      </c>
      <c r="H34" s="20">
        <v>117942</v>
      </c>
    </row>
    <row r="35" spans="7:8" x14ac:dyDescent="0.25">
      <c r="G35" s="31" t="s">
        <v>1323</v>
      </c>
      <c r="H35" s="20">
        <v>147154</v>
      </c>
    </row>
    <row r="36" spans="7:8" x14ac:dyDescent="0.25">
      <c r="G36" s="31" t="s">
        <v>1324</v>
      </c>
      <c r="H36" s="20">
        <v>136068</v>
      </c>
    </row>
    <row r="37" spans="7:8" x14ac:dyDescent="0.25">
      <c r="G37" s="31" t="s">
        <v>1325</v>
      </c>
      <c r="H37" s="20">
        <v>111485</v>
      </c>
    </row>
    <row r="38" spans="7:8" x14ac:dyDescent="0.25">
      <c r="G38" s="23" t="s">
        <v>1312</v>
      </c>
      <c r="H38" s="20"/>
    </row>
    <row r="39" spans="7:8" x14ac:dyDescent="0.25">
      <c r="G39" s="31" t="s">
        <v>1314</v>
      </c>
      <c r="H39" s="20">
        <v>108636</v>
      </c>
    </row>
    <row r="40" spans="7:8" x14ac:dyDescent="0.25">
      <c r="G40" s="31" t="s">
        <v>1315</v>
      </c>
      <c r="H40" s="20">
        <v>165667</v>
      </c>
    </row>
    <row r="41" spans="7:8" x14ac:dyDescent="0.25">
      <c r="G41" s="31" t="s">
        <v>1316</v>
      </c>
      <c r="H41" s="20">
        <v>154856</v>
      </c>
    </row>
    <row r="42" spans="7:8" x14ac:dyDescent="0.25">
      <c r="G42" s="31" t="s">
        <v>1317</v>
      </c>
      <c r="H42" s="20">
        <v>130052</v>
      </c>
    </row>
    <row r="43" spans="7:8" x14ac:dyDescent="0.25">
      <c r="G43" s="31" t="s">
        <v>1318</v>
      </c>
      <c r="H43" s="20">
        <v>85570</v>
      </c>
    </row>
    <row r="44" spans="7:8" x14ac:dyDescent="0.25">
      <c r="G44" s="31" t="s">
        <v>1319</v>
      </c>
      <c r="H44" s="20">
        <v>188033</v>
      </c>
    </row>
    <row r="45" spans="7:8" x14ac:dyDescent="0.25">
      <c r="G45" s="31" t="s">
        <v>1320</v>
      </c>
      <c r="H45" s="20">
        <v>174290</v>
      </c>
    </row>
    <row r="46" spans="7:8" x14ac:dyDescent="0.25">
      <c r="G46" s="31" t="s">
        <v>1321</v>
      </c>
      <c r="H46" s="20">
        <v>146085</v>
      </c>
    </row>
    <row r="47" spans="7:8" x14ac:dyDescent="0.25">
      <c r="G47" s="31" t="s">
        <v>1322</v>
      </c>
      <c r="H47" s="20">
        <v>89291</v>
      </c>
    </row>
    <row r="48" spans="7:8" x14ac:dyDescent="0.25">
      <c r="G48" s="31" t="s">
        <v>1323</v>
      </c>
      <c r="H48" s="20">
        <v>79985</v>
      </c>
    </row>
    <row r="49" spans="7:8" x14ac:dyDescent="0.25">
      <c r="G49" s="31" t="s">
        <v>1324</v>
      </c>
      <c r="H49" s="20">
        <v>83427</v>
      </c>
    </row>
    <row r="50" spans="7:8" x14ac:dyDescent="0.25">
      <c r="G50" s="31" t="s">
        <v>1325</v>
      </c>
      <c r="H50" s="20">
        <v>112986</v>
      </c>
    </row>
    <row r="51" spans="7:8" x14ac:dyDescent="0.25">
      <c r="G51" s="23" t="s">
        <v>1313</v>
      </c>
      <c r="H51" s="20"/>
    </row>
    <row r="52" spans="7:8" x14ac:dyDescent="0.25">
      <c r="G52" s="31" t="s">
        <v>1314</v>
      </c>
      <c r="H52" s="20">
        <v>176692</v>
      </c>
    </row>
    <row r="53" spans="7:8" x14ac:dyDescent="0.25">
      <c r="G53" s="31" t="s">
        <v>1315</v>
      </c>
      <c r="H53" s="20">
        <v>103366</v>
      </c>
    </row>
    <row r="54" spans="7:8" x14ac:dyDescent="0.25">
      <c r="G54" s="31" t="s">
        <v>1316</v>
      </c>
      <c r="H54" s="20">
        <v>110988</v>
      </c>
    </row>
    <row r="55" spans="7:8" x14ac:dyDescent="0.25">
      <c r="G55" s="31" t="s">
        <v>1317</v>
      </c>
      <c r="H55" s="20">
        <v>146527</v>
      </c>
    </row>
    <row r="56" spans="7:8" x14ac:dyDescent="0.25">
      <c r="G56" s="31" t="s">
        <v>1318</v>
      </c>
      <c r="H56" s="20">
        <v>79970</v>
      </c>
    </row>
    <row r="57" spans="7:8" x14ac:dyDescent="0.25">
      <c r="G57" s="23" t="s">
        <v>1292</v>
      </c>
      <c r="H57" s="20">
        <v>4786627</v>
      </c>
    </row>
  </sheetData>
  <mergeCells count="7">
    <mergeCell ref="A1:B1"/>
    <mergeCell ref="D1:E1"/>
    <mergeCell ref="G1:H1"/>
    <mergeCell ref="J1:K1"/>
    <mergeCell ref="A13:B13"/>
    <mergeCell ref="D13:E13"/>
    <mergeCell ref="G13:H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B10"/>
  <sheetViews>
    <sheetView showGridLines="0" topLeftCell="A50" zoomScaleNormal="100" workbookViewId="0">
      <selection activeCell="B10" sqref="B10"/>
    </sheetView>
  </sheetViews>
  <sheetFormatPr baseColWidth="10" defaultColWidth="8.7109375" defaultRowHeight="15" x14ac:dyDescent="0.25"/>
  <cols>
    <col min="1" max="1" width="4" customWidth="1"/>
    <col min="2" max="2" width="17.5703125" bestFit="1" customWidth="1"/>
    <col min="3" max="3" width="25.42578125" bestFit="1" customWidth="1"/>
    <col min="15" max="16" width="25.42578125" bestFit="1" customWidth="1"/>
  </cols>
  <sheetData>
    <row r="2" spans="2:2" ht="20.25" x14ac:dyDescent="0.3">
      <c r="B2" s="1"/>
    </row>
    <row r="4" spans="2:2" ht="21" x14ac:dyDescent="0.35">
      <c r="B4" s="30"/>
    </row>
    <row r="6" spans="2:2" ht="18.75" x14ac:dyDescent="0.3">
      <c r="B6" s="8"/>
    </row>
    <row r="8" spans="2:2" ht="18.75" x14ac:dyDescent="0.3">
      <c r="B8" s="8"/>
    </row>
    <row r="10" spans="2:2" ht="18.75" x14ac:dyDescent="0.3">
      <c r="B10" s="8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C0B3D-A793-43FF-8A66-6057E4803B50}">
  <dimension ref="B1:B4"/>
  <sheetViews>
    <sheetView showGridLines="0" workbookViewId="0"/>
  </sheetViews>
  <sheetFormatPr baseColWidth="10" defaultRowHeight="15" x14ac:dyDescent="0.25"/>
  <cols>
    <col min="1" max="1" width="12.5703125" style="32" bestFit="1" customWidth="1"/>
    <col min="2" max="2" width="25.42578125" style="32" bestFit="1" customWidth="1"/>
    <col min="3" max="3" width="11.42578125" style="32"/>
    <col min="4" max="4" width="19.140625" style="32" bestFit="1" customWidth="1"/>
    <col min="5" max="5" width="25.42578125" style="32" bestFit="1" customWidth="1"/>
    <col min="6" max="6" width="15.140625" style="32" customWidth="1"/>
    <col min="7" max="7" width="19.140625" style="32" bestFit="1" customWidth="1"/>
    <col min="8" max="8" width="18.5703125" style="32" bestFit="1" customWidth="1"/>
    <col min="9" max="9" width="12.7109375" style="32" customWidth="1"/>
    <col min="10" max="10" width="12.5703125" style="32" bestFit="1" customWidth="1"/>
    <col min="11" max="11" width="16.42578125" style="32" bestFit="1" customWidth="1"/>
    <col min="12" max="12" width="12.5703125" style="32" bestFit="1" customWidth="1"/>
    <col min="13" max="13" width="16.42578125" style="32" bestFit="1" customWidth="1"/>
    <col min="14" max="16384" width="11.42578125" style="32"/>
  </cols>
  <sheetData>
    <row r="1" spans="2:2" x14ac:dyDescent="0.25">
      <c r="B1" s="33"/>
    </row>
    <row r="2" spans="2:2" x14ac:dyDescent="0.25">
      <c r="B2" s="34"/>
    </row>
    <row r="3" spans="2:2" x14ac:dyDescent="0.25">
      <c r="B3" s="35"/>
    </row>
    <row r="4" spans="2:2" x14ac:dyDescent="0.25">
      <c r="B4" s="35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B10"/>
  <sheetViews>
    <sheetView showGridLines="0" zoomScaleNormal="100" workbookViewId="0">
      <selection activeCell="B12" sqref="B12"/>
    </sheetView>
  </sheetViews>
  <sheetFormatPr baseColWidth="10" defaultColWidth="8.7109375" defaultRowHeight="15" x14ac:dyDescent="0.25"/>
  <cols>
    <col min="1" max="1" width="4" customWidth="1"/>
    <col min="2" max="2" width="181" bestFit="1" customWidth="1"/>
  </cols>
  <sheetData>
    <row r="2" spans="2:2" ht="20.25" x14ac:dyDescent="0.3">
      <c r="B2" s="1" t="s">
        <v>1291</v>
      </c>
    </row>
    <row r="3" spans="2:2" x14ac:dyDescent="0.25">
      <c r="B3" s="2"/>
    </row>
    <row r="4" spans="2:2" ht="31.5" customHeight="1" x14ac:dyDescent="0.25">
      <c r="B4" s="36" t="s">
        <v>1364</v>
      </c>
    </row>
    <row r="5" spans="2:2" ht="24" customHeight="1" x14ac:dyDescent="0.25">
      <c r="B5" s="36" t="s">
        <v>1365</v>
      </c>
    </row>
    <row r="6" spans="2:2" ht="38.25" customHeight="1" x14ac:dyDescent="0.25">
      <c r="B6" s="49" t="s">
        <v>1366</v>
      </c>
    </row>
    <row r="7" spans="2:2" ht="27.75" customHeight="1" x14ac:dyDescent="0.25">
      <c r="B7" s="36" t="s">
        <v>1367</v>
      </c>
    </row>
    <row r="8" spans="2:2" ht="27.75" customHeight="1" x14ac:dyDescent="0.25">
      <c r="B8" s="36" t="s">
        <v>1368</v>
      </c>
    </row>
    <row r="9" spans="2:2" ht="27.75" customHeight="1" x14ac:dyDescent="0.25"/>
    <row r="10" spans="2:2" ht="27.7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F53C9A-F123-4F8E-9265-70EA47B30D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Sobre este análisis</vt:lpstr>
      <vt:lpstr>Datos_Crudos</vt:lpstr>
      <vt:lpstr>Data Profiling</vt:lpstr>
      <vt:lpstr>Datos_Limpios</vt:lpstr>
      <vt:lpstr>Preguntas</vt:lpstr>
      <vt:lpstr>Evidencia Respuestas</vt:lpstr>
      <vt:lpstr>Gráficos</vt:lpstr>
      <vt:lpstr>Dashboard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Alexander Martinez Realpe</cp:lastModifiedBy>
  <cp:revision>0</cp:revision>
  <dcterms:created xsi:type="dcterms:W3CDTF">2026-08-24T03:37:20Z</dcterms:created>
  <dcterms:modified xsi:type="dcterms:W3CDTF">2026-09-03T21:48:28Z</dcterms:modified>
  <dc:language>en-US</dc:language>
</cp:coreProperties>
</file>